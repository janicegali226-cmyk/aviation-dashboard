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9_{654E3BD9-7444-4737-B529-65CDA6BAFD96}" xr6:coauthVersionLast="47" xr6:coauthVersionMax="47" xr10:uidLastSave="{00000000-0000-0000-0000-000000000000}"/>
  <bookViews>
    <workbookView xWindow="0" yWindow="300" windowWidth="23256" windowHeight="12576" xr2:uid="{43EADE0E-4479-4077-87A4-72A9508CBC61}"/>
  </bookViews>
  <sheets>
    <sheet name="成本计算" sheetId="1" r:id="rId1"/>
  </sheets>
  <definedNames>
    <definedName name="_xlnm._FilterDatabase" localSheetId="0" hidden="1">成本计算!$Q$1:$Q$32</definedName>
  </definedNames>
  <calcPr calcId="0"/>
</workbook>
</file>

<file path=xl/calcChain.xml><?xml version="1.0" encoding="utf-8"?>
<calcChain xmlns="http://schemas.openxmlformats.org/spreadsheetml/2006/main">
  <c r="V2" i="1" l="1"/>
  <c r="V4" i="1"/>
  <c r="V5" i="1"/>
  <c r="V8" i="1"/>
  <c r="V3" i="1"/>
  <c r="V20" i="1"/>
  <c r="V19" i="1"/>
  <c r="V17" i="1"/>
  <c r="V12" i="1"/>
  <c r="V10" i="1"/>
  <c r="V15" i="1"/>
  <c r="V24" i="1"/>
  <c r="V9" i="1"/>
  <c r="V7" i="1"/>
  <c r="V11" i="1"/>
  <c r="V16" i="1"/>
  <c r="V13" i="1"/>
  <c r="V14" i="1"/>
  <c r="V23" i="1"/>
  <c r="V21" i="1"/>
  <c r="V25" i="1"/>
  <c r="V18" i="1"/>
  <c r="V22" i="1"/>
  <c r="V28" i="1"/>
  <c r="W28" i="1" s="1"/>
  <c r="V26" i="1"/>
  <c r="V27" i="1"/>
  <c r="V29" i="1"/>
  <c r="V31" i="1"/>
  <c r="V30" i="1"/>
  <c r="V32" i="1"/>
  <c r="V6" i="1"/>
  <c r="U2" i="1"/>
  <c r="W2" i="1" s="1"/>
  <c r="U4" i="1"/>
  <c r="W4" i="1" s="1"/>
  <c r="U5" i="1"/>
  <c r="W5" i="1" s="1"/>
  <c r="U8" i="1"/>
  <c r="W8" i="1" s="1"/>
  <c r="U3" i="1"/>
  <c r="U20" i="1"/>
  <c r="U19" i="1"/>
  <c r="W19" i="1" s="1"/>
  <c r="U17" i="1"/>
  <c r="U12" i="1"/>
  <c r="W12" i="1" s="1"/>
  <c r="U10" i="1"/>
  <c r="W10" i="1" s="1"/>
  <c r="U15" i="1"/>
  <c r="W15" i="1" s="1"/>
  <c r="U24" i="1"/>
  <c r="W24" i="1" s="1"/>
  <c r="U9" i="1"/>
  <c r="U7" i="1"/>
  <c r="U11" i="1"/>
  <c r="W11" i="1" s="1"/>
  <c r="U16" i="1"/>
  <c r="U13" i="1"/>
  <c r="W13" i="1" s="1"/>
  <c r="U14" i="1"/>
  <c r="W14" i="1" s="1"/>
  <c r="U23" i="1"/>
  <c r="W23" i="1" s="1"/>
  <c r="U21" i="1"/>
  <c r="W21" i="1" s="1"/>
  <c r="U25" i="1"/>
  <c r="U18" i="1"/>
  <c r="U22" i="1"/>
  <c r="W22" i="1" s="1"/>
  <c r="U28" i="1"/>
  <c r="U26" i="1"/>
  <c r="W26" i="1" s="1"/>
  <c r="U27" i="1"/>
  <c r="W27" i="1" s="1"/>
  <c r="U29" i="1"/>
  <c r="W29" i="1" s="1"/>
  <c r="U31" i="1"/>
  <c r="W31" i="1" s="1"/>
  <c r="U30" i="1"/>
  <c r="U32" i="1"/>
  <c r="U6" i="1"/>
  <c r="W6" i="1" s="1"/>
  <c r="O2" i="1"/>
  <c r="Q2" i="1" s="1"/>
  <c r="O4" i="1"/>
  <c r="Q4" i="1" s="1"/>
  <c r="O5" i="1"/>
  <c r="Q5" i="1" s="1"/>
  <c r="O8" i="1"/>
  <c r="Q8" i="1" s="1"/>
  <c r="O3" i="1"/>
  <c r="Q3" i="1" s="1"/>
  <c r="O20" i="1"/>
  <c r="Q20" i="1" s="1"/>
  <c r="O19" i="1"/>
  <c r="Q19" i="1" s="1"/>
  <c r="O17" i="1"/>
  <c r="Q17" i="1" s="1"/>
  <c r="O12" i="1"/>
  <c r="Q12" i="1" s="1"/>
  <c r="O10" i="1"/>
  <c r="Q10" i="1" s="1"/>
  <c r="O15" i="1"/>
  <c r="Q15" i="1" s="1"/>
  <c r="O24" i="1"/>
  <c r="Q24" i="1" s="1"/>
  <c r="O9" i="1"/>
  <c r="Q9" i="1" s="1"/>
  <c r="O7" i="1"/>
  <c r="Q7" i="1" s="1"/>
  <c r="O11" i="1"/>
  <c r="Q11" i="1" s="1"/>
  <c r="O16" i="1"/>
  <c r="Q16" i="1" s="1"/>
  <c r="O13" i="1"/>
  <c r="Q13" i="1" s="1"/>
  <c r="O14" i="1"/>
  <c r="Q14" i="1" s="1"/>
  <c r="O23" i="1"/>
  <c r="Q23" i="1" s="1"/>
  <c r="O21" i="1"/>
  <c r="Q21" i="1" s="1"/>
  <c r="O25" i="1"/>
  <c r="Q25" i="1" s="1"/>
  <c r="O18" i="1"/>
  <c r="Q18" i="1" s="1"/>
  <c r="O22" i="1"/>
  <c r="Q22" i="1" s="1"/>
  <c r="O28" i="1"/>
  <c r="Q28" i="1" s="1"/>
  <c r="O26" i="1"/>
  <c r="Q26" i="1" s="1"/>
  <c r="O27" i="1"/>
  <c r="Q27" i="1" s="1"/>
  <c r="O29" i="1"/>
  <c r="Q29" i="1" s="1"/>
  <c r="O31" i="1"/>
  <c r="Q31" i="1" s="1"/>
  <c r="O30" i="1"/>
  <c r="Q30" i="1" s="1"/>
  <c r="O32" i="1"/>
  <c r="Q32" i="1" s="1"/>
  <c r="O6" i="1"/>
  <c r="Q6" i="1" s="1"/>
  <c r="K28" i="1"/>
  <c r="K30" i="1"/>
  <c r="K20" i="1"/>
  <c r="K12" i="1"/>
  <c r="K16" i="1"/>
  <c r="K15" i="1"/>
  <c r="K3" i="1"/>
  <c r="K6" i="1"/>
  <c r="K8" i="1"/>
  <c r="K4" i="1"/>
  <c r="K5" i="1"/>
  <c r="K9" i="1"/>
  <c r="K7" i="1"/>
  <c r="K11" i="1"/>
  <c r="K10" i="1"/>
  <c r="K13" i="1"/>
  <c r="K14" i="1"/>
  <c r="K25" i="1"/>
  <c r="K21" i="1"/>
  <c r="K23" i="1"/>
  <c r="K17" i="1"/>
  <c r="K31" i="1"/>
  <c r="K29" i="1"/>
  <c r="K32" i="1"/>
  <c r="K19" i="1"/>
  <c r="K24" i="1"/>
  <c r="K26" i="1"/>
  <c r="K22" i="1"/>
  <c r="K27" i="1"/>
  <c r="K18" i="1"/>
  <c r="K2" i="1"/>
  <c r="G28" i="1"/>
  <c r="G30" i="1"/>
  <c r="G20" i="1"/>
  <c r="G12" i="1"/>
  <c r="G16" i="1"/>
  <c r="G15" i="1"/>
  <c r="G3" i="1"/>
  <c r="G6" i="1"/>
  <c r="G8" i="1"/>
  <c r="G4" i="1"/>
  <c r="G5" i="1"/>
  <c r="G9" i="1"/>
  <c r="G7" i="1"/>
  <c r="G11" i="1"/>
  <c r="G10" i="1"/>
  <c r="G13" i="1"/>
  <c r="G14" i="1"/>
  <c r="G25" i="1"/>
  <c r="G21" i="1"/>
  <c r="G23" i="1"/>
  <c r="G17" i="1"/>
  <c r="G31" i="1"/>
  <c r="G29" i="1"/>
  <c r="G32" i="1"/>
  <c r="G19" i="1"/>
  <c r="G24" i="1"/>
  <c r="G26" i="1"/>
  <c r="G22" i="1"/>
  <c r="G27" i="1"/>
  <c r="G18" i="1"/>
  <c r="G2" i="1"/>
  <c r="W16" i="1" l="1"/>
  <c r="W17" i="1"/>
  <c r="W18" i="1"/>
  <c r="W30" i="1"/>
  <c r="W25" i="1"/>
  <c r="W9" i="1"/>
  <c r="W3" i="1"/>
  <c r="W7" i="1"/>
  <c r="W20" i="1"/>
  <c r="W32" i="1"/>
</calcChain>
</file>

<file path=xl/sharedStrings.xml><?xml version="1.0" encoding="utf-8"?>
<sst xmlns="http://schemas.openxmlformats.org/spreadsheetml/2006/main" count="144" uniqueCount="70">
  <si>
    <t>airline</t>
  </si>
  <si>
    <t>route</t>
  </si>
  <si>
    <t>ident</t>
  </si>
  <si>
    <t>aircraft</t>
  </si>
  <si>
    <t>fluctuation_pct</t>
  </si>
  <si>
    <t>extra_fuel</t>
  </si>
  <si>
    <t>extra_crew</t>
  </si>
  <si>
    <t>baseline_fuel_cost</t>
  </si>
  <si>
    <t>baseline_crew_cost</t>
  </si>
  <si>
    <t>actual_air_time</t>
  </si>
  <si>
    <t>current_fuel_cost</t>
  </si>
  <si>
    <t>current_crew_cost</t>
  </si>
  <si>
    <t>war_risk</t>
  </si>
  <si>
    <t>extra_stop</t>
  </si>
  <si>
    <t>delay_comp</t>
  </si>
  <si>
    <t>update_time</t>
  </si>
  <si>
    <t>Air India</t>
  </si>
  <si>
    <t>BOM-DXB</t>
  </si>
  <si>
    <t>AIC4217</t>
  </si>
  <si>
    <t>Boeing 787-8 (twin-jet)</t>
  </si>
  <si>
    <t>British Airways</t>
  </si>
  <si>
    <t>SIN-LHR</t>
  </si>
  <si>
    <t>BAW12</t>
  </si>
  <si>
    <t>BOEING 777-300ER (twin-jet)</t>
  </si>
  <si>
    <t>BAW16</t>
  </si>
  <si>
    <t>Boeing 787-9 Dreamliner (twin-jet)</t>
  </si>
  <si>
    <t>Emirates</t>
  </si>
  <si>
    <t>BKK-DXB</t>
  </si>
  <si>
    <t>UAE371</t>
  </si>
  <si>
    <t>UAE373</t>
  </si>
  <si>
    <t>Airbus A380-800 (quad-jet)</t>
  </si>
  <si>
    <t>UAE375</t>
  </si>
  <si>
    <t>UAE385</t>
  </si>
  <si>
    <t>UAE501</t>
  </si>
  <si>
    <t>UAE503</t>
  </si>
  <si>
    <t>Airbus A350-900 (twin-jet)</t>
  </si>
  <si>
    <t>UAE505</t>
  </si>
  <si>
    <t>UAE507</t>
  </si>
  <si>
    <t>UAE509</t>
  </si>
  <si>
    <t>HKG-DXB</t>
  </si>
  <si>
    <t>UAE381</t>
  </si>
  <si>
    <t>LHR-DXB</t>
  </si>
  <si>
    <t>UAE2</t>
  </si>
  <si>
    <t>UAE30</t>
  </si>
  <si>
    <t>UAE4</t>
  </si>
  <si>
    <t>UAE6</t>
  </si>
  <si>
    <t>UAE8</t>
  </si>
  <si>
    <t>MEL-DXB</t>
  </si>
  <si>
    <t>UAE407</t>
  </si>
  <si>
    <t>SIN-DXB</t>
  </si>
  <si>
    <t>UAE353</t>
  </si>
  <si>
    <t>UAE355</t>
  </si>
  <si>
    <t>Qatar Airways</t>
  </si>
  <si>
    <t>DOH-SIN</t>
  </si>
  <si>
    <t>A7-BFQ</t>
  </si>
  <si>
    <t>Boeing 777-200 (twin-jet)</t>
  </si>
  <si>
    <t>A7-BTC</t>
  </si>
  <si>
    <t>QTR8408</t>
  </si>
  <si>
    <t>QTR8432</t>
  </si>
  <si>
    <t>QTR942</t>
  </si>
  <si>
    <t>QTR948</t>
  </si>
  <si>
    <t>Singapore Airlines</t>
  </si>
  <si>
    <t>SIA306</t>
  </si>
  <si>
    <t>SIA308</t>
  </si>
  <si>
    <t>SIA318</t>
  </si>
  <si>
    <t>SIA322</t>
  </si>
  <si>
    <t>baseline_air_time</t>
    <phoneticPr fontId="18" type="noConversion"/>
  </si>
  <si>
    <t>current_cost</t>
    <phoneticPr fontId="18" type="noConversion"/>
  </si>
  <si>
    <t>baseline_cost</t>
    <phoneticPr fontId="18" type="noConversion"/>
  </si>
  <si>
    <t>飞行距离短，所以本身的成本就不高，但飞行范围又在高危区域内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</si>
</sst>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0" fillId="33" borderId="0" xfId="0" applyFill="1">
      <alignment vertical="center"/>
    </xf>
    <xf numFmtId="0" fontId="19" fillId="34" borderId="0" xfId="0" applyFont="1" applyFill="1">
      <alignment vertical="center"/>
    </xf>
    <xf numFmtId="0" fontId="0" fillId="34" borderId="0" xfId="0" applyFill="1">
      <alignment vertical="center"/>
    </xf>
    <xf numFmtId="0" fontId="20" fillId="35" borderId="0" xfId="0" applyFont="1" applyFill="1">
      <alignment vertical="center"/>
    </xf>
    <xf numFmtId="0" fontId="21" fillId="35" borderId="0" xfId="0" applyFont="1" applyFill="1">
      <alignment vertical="center"/>
    </xf>
    <xf numFmtId="0" fontId="19" fillId="36" borderId="0" xfId="0" applyFont="1" applyFill="1">
      <alignment vertical="center"/>
    </xf>
    <xf numFmtId="0" fontId="0" fillId="36" borderId="0" xfId="0" applyFill="1">
      <alignment vertical="center"/>
    </xf>
    <xf numFmtId="0" fontId="19" fillId="37" borderId="0" xfId="0" applyFont="1" applyFill="1">
      <alignment vertical="center"/>
    </xf>
    <xf numFmtId="0" fontId="0" fillId="37" borderId="0" xfId="0" applyFill="1">
      <alignment vertical="center"/>
    </xf>
    <xf numFmtId="176" fontId="0" fillId="33" borderId="0" xfId="1" applyNumberFormat="1" applyFont="1" applyFill="1">
      <alignment vertical="center"/>
    </xf>
    <xf numFmtId="176" fontId="0" fillId="36" borderId="0" xfId="1" applyNumberFormat="1" applyFont="1" applyFill="1">
      <alignment vertical="center"/>
    </xf>
    <xf numFmtId="176" fontId="0" fillId="37" borderId="0" xfId="1" applyNumberFormat="1" applyFont="1" applyFill="1">
      <alignment vertical="center"/>
    </xf>
    <xf numFmtId="0" fontId="19" fillId="35" borderId="0" xfId="0" applyFont="1" applyFill="1">
      <alignment vertical="center"/>
    </xf>
    <xf numFmtId="0" fontId="0" fillId="35" borderId="0" xfId="0" applyFill="1">
      <alignment vertical="center"/>
    </xf>
    <xf numFmtId="176" fontId="0" fillId="35" borderId="0" xfId="1" applyNumberFormat="1" applyFont="1" applyFill="1">
      <alignment vertical="center"/>
    </xf>
    <xf numFmtId="0" fontId="19" fillId="0" borderId="0" xfId="0" applyFont="1" applyFill="1">
      <alignment vertical="center"/>
    </xf>
    <xf numFmtId="0" fontId="0" fillId="0" borderId="0" xfId="0" applyFill="1">
      <alignment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3F07-688C-42FE-A97E-25A95FA89291}">
  <dimension ref="A1:Y32"/>
  <sheetViews>
    <sheetView tabSelected="1" workbookViewId="0">
      <pane ySplit="1" topLeftCell="A2" activePane="bottomLeft" state="frozen"/>
      <selection pane="bottomLeft" activeCell="P17" sqref="P17"/>
    </sheetView>
  </sheetViews>
  <sheetFormatPr defaultRowHeight="13.8" x14ac:dyDescent="0.25"/>
  <cols>
    <col min="1" max="1" width="8.88671875" style="6"/>
    <col min="2" max="2" width="10.5546875" style="6" bestFit="1" customWidth="1"/>
    <col min="3" max="4" width="8.88671875" style="6"/>
    <col min="5" max="5" width="15.88671875" style="8" bestFit="1" customWidth="1"/>
    <col min="6" max="6" width="10.5546875" style="4" bestFit="1" customWidth="1"/>
    <col min="7" max="7" width="6.6640625" style="4" customWidth="1"/>
    <col min="8" max="8" width="17.88671875" style="4" bestFit="1" customWidth="1"/>
    <col min="9" max="9" width="18.88671875" style="4" bestFit="1" customWidth="1"/>
    <col min="10" max="10" width="11.44140625" style="10" bestFit="1" customWidth="1"/>
    <col min="11" max="11" width="7.44140625" style="10" customWidth="1"/>
    <col min="12" max="12" width="18.77734375" style="10" bestFit="1" customWidth="1"/>
    <col min="13" max="13" width="19.77734375" style="10" bestFit="1" customWidth="1"/>
    <col min="14" max="14" width="18" style="12" bestFit="1" customWidth="1"/>
    <col min="15" max="15" width="8.21875" style="12" customWidth="1"/>
    <col min="16" max="16" width="15.5546875" style="12" bestFit="1" customWidth="1"/>
    <col min="17" max="17" width="7.5546875" style="12" customWidth="1"/>
    <col min="19" max="19" width="8.88671875" style="20"/>
    <col min="21" max="21" width="13.109375" style="17" bestFit="1" customWidth="1"/>
    <col min="22" max="22" width="14.109375" style="17" bestFit="1" customWidth="1"/>
    <col min="23" max="23" width="14.109375" style="17" customWidth="1"/>
  </cols>
  <sheetData>
    <row r="1" spans="1:25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3" t="s">
        <v>5</v>
      </c>
      <c r="G1" s="3"/>
      <c r="H1" s="3" t="s">
        <v>10</v>
      </c>
      <c r="I1" s="3" t="s">
        <v>7</v>
      </c>
      <c r="J1" s="9" t="s">
        <v>6</v>
      </c>
      <c r="K1" s="9"/>
      <c r="L1" s="9" t="s">
        <v>11</v>
      </c>
      <c r="M1" s="9" t="s">
        <v>8</v>
      </c>
      <c r="N1" s="11" t="s">
        <v>66</v>
      </c>
      <c r="O1" s="11"/>
      <c r="P1" s="11" t="s">
        <v>9</v>
      </c>
      <c r="Q1" s="11"/>
      <c r="R1" s="2" t="s">
        <v>12</v>
      </c>
      <c r="S1" s="19" t="s">
        <v>13</v>
      </c>
      <c r="T1" s="2" t="s">
        <v>14</v>
      </c>
      <c r="U1" s="16" t="s">
        <v>67</v>
      </c>
      <c r="V1" s="16" t="s">
        <v>68</v>
      </c>
      <c r="W1" s="16"/>
      <c r="X1" s="2" t="s">
        <v>15</v>
      </c>
      <c r="Y1" s="2"/>
    </row>
    <row r="2" spans="1:25" x14ac:dyDescent="0.25">
      <c r="A2" s="6" t="s">
        <v>16</v>
      </c>
      <c r="B2" s="6" t="s">
        <v>17</v>
      </c>
      <c r="C2" s="6" t="s">
        <v>18</v>
      </c>
      <c r="D2" s="6" t="s">
        <v>19</v>
      </c>
      <c r="E2" s="8">
        <v>249.3</v>
      </c>
      <c r="F2" s="4">
        <v>9777.7900000000009</v>
      </c>
      <c r="G2" s="13">
        <f>F2/I2</f>
        <v>0.96406992565715532</v>
      </c>
      <c r="H2" s="4">
        <v>19920</v>
      </c>
      <c r="I2" s="4">
        <v>10142.200000000001</v>
      </c>
      <c r="J2" s="10">
        <v>1442.94</v>
      </c>
      <c r="K2" s="14">
        <f>J2/M2</f>
        <v>0.32875832182745279</v>
      </c>
      <c r="L2" s="10">
        <v>5832</v>
      </c>
      <c r="M2" s="10">
        <v>4389.0600000000004</v>
      </c>
      <c r="N2" s="12">
        <v>2.11</v>
      </c>
      <c r="O2" s="12">
        <f>N2*1.06</f>
        <v>2.2366000000000001</v>
      </c>
      <c r="P2" s="12">
        <v>3</v>
      </c>
      <c r="Q2" s="15">
        <f>(P2-O2)/O2</f>
        <v>0.34132164893141365</v>
      </c>
      <c r="R2">
        <v>5000</v>
      </c>
      <c r="S2" s="20">
        <v>0</v>
      </c>
      <c r="T2">
        <v>0</v>
      </c>
      <c r="U2" s="17">
        <f>SUM(H2,L2,R2,S2,T2)</f>
        <v>30752</v>
      </c>
      <c r="V2" s="17">
        <f>SUM(I2,M2)</f>
        <v>14531.260000000002</v>
      </c>
      <c r="W2" s="18">
        <f>(U2-V2)/V2</f>
        <v>1.1162652103121131</v>
      </c>
      <c r="X2" s="1">
        <v>46140.589189814818</v>
      </c>
    </row>
    <row r="3" spans="1:25" x14ac:dyDescent="0.25">
      <c r="A3" s="6" t="s">
        <v>26</v>
      </c>
      <c r="B3" s="6" t="s">
        <v>17</v>
      </c>
      <c r="C3" s="6" t="s">
        <v>33</v>
      </c>
      <c r="D3" s="6" t="s">
        <v>30</v>
      </c>
      <c r="E3" s="8">
        <v>168.7</v>
      </c>
      <c r="F3" s="4">
        <v>21238.5</v>
      </c>
      <c r="G3" s="13">
        <f>F3/I3</f>
        <v>0.99114717988445133</v>
      </c>
      <c r="H3" s="4">
        <v>42666.7</v>
      </c>
      <c r="I3" s="4">
        <v>21428.2</v>
      </c>
      <c r="J3" s="10">
        <v>2544.87</v>
      </c>
      <c r="K3" s="14">
        <f>J3/M3</f>
        <v>0.33989926714241636</v>
      </c>
      <c r="L3" s="10">
        <v>10032</v>
      </c>
      <c r="M3" s="10">
        <v>7487.13</v>
      </c>
      <c r="N3" s="12">
        <v>2</v>
      </c>
      <c r="O3" s="12">
        <f>N3*1.06</f>
        <v>2.12</v>
      </c>
      <c r="P3" s="12">
        <v>2.88</v>
      </c>
      <c r="Q3" s="15">
        <f>(P3-O3)/O3</f>
        <v>0.35849056603773571</v>
      </c>
      <c r="R3">
        <v>5000</v>
      </c>
      <c r="S3" s="20">
        <v>0</v>
      </c>
      <c r="T3">
        <v>0</v>
      </c>
      <c r="U3" s="17">
        <f>SUM(H3,L3,R3,S3,T3)</f>
        <v>57698.7</v>
      </c>
      <c r="V3" s="17">
        <f>SUM(I3,M3)</f>
        <v>28915.33</v>
      </c>
      <c r="W3" s="18">
        <f>(U3-V3)/V3</f>
        <v>0.99543633083212235</v>
      </c>
      <c r="X3" s="1">
        <v>46140.588958333334</v>
      </c>
    </row>
    <row r="4" spans="1:25" x14ac:dyDescent="0.25">
      <c r="A4" s="6" t="s">
        <v>26</v>
      </c>
      <c r="B4" s="6" t="s">
        <v>17</v>
      </c>
      <c r="C4" s="6" t="s">
        <v>37</v>
      </c>
      <c r="D4" s="6" t="s">
        <v>23</v>
      </c>
      <c r="E4" s="8">
        <v>191.4</v>
      </c>
      <c r="F4" s="4">
        <v>12035.6</v>
      </c>
      <c r="G4" s="13">
        <f>F4/I4</f>
        <v>0.84633775877587769</v>
      </c>
      <c r="H4" s="4">
        <v>26256.5</v>
      </c>
      <c r="I4" s="4">
        <v>14220.8</v>
      </c>
      <c r="J4" s="10">
        <v>1569.87</v>
      </c>
      <c r="K4" s="14">
        <f>J4/M4</f>
        <v>0.26366068594404218</v>
      </c>
      <c r="L4" s="10">
        <v>7524</v>
      </c>
      <c r="M4" s="10">
        <v>5954.13</v>
      </c>
      <c r="N4" s="12">
        <v>2.16</v>
      </c>
      <c r="O4" s="12">
        <f>N4*1.06</f>
        <v>2.2896000000000001</v>
      </c>
      <c r="P4" s="12">
        <v>2.88</v>
      </c>
      <c r="Q4" s="15">
        <f>(P4-O4)/O4</f>
        <v>0.25786163522012567</v>
      </c>
      <c r="R4">
        <v>5000</v>
      </c>
      <c r="S4" s="20">
        <v>0</v>
      </c>
      <c r="T4">
        <v>0</v>
      </c>
      <c r="U4" s="17">
        <f>SUM(H4,L4,R4,S4,T4)</f>
        <v>38780.5</v>
      </c>
      <c r="V4" s="17">
        <f>SUM(I4,M4)</f>
        <v>20174.93</v>
      </c>
      <c r="W4" s="18">
        <f>(U4-V4)/V4</f>
        <v>0.92221236951008001</v>
      </c>
      <c r="X4" s="1">
        <v>46140.589108796295</v>
      </c>
    </row>
    <row r="5" spans="1:25" x14ac:dyDescent="0.25">
      <c r="A5" s="6" t="s">
        <v>26</v>
      </c>
      <c r="B5" s="6" t="s">
        <v>17</v>
      </c>
      <c r="C5" s="6" t="s">
        <v>38</v>
      </c>
      <c r="D5" s="6" t="s">
        <v>23</v>
      </c>
      <c r="E5" s="8">
        <v>189.5</v>
      </c>
      <c r="F5" s="4">
        <v>11732.1</v>
      </c>
      <c r="G5" s="13">
        <f>F5/I5</f>
        <v>0.82499578082808289</v>
      </c>
      <c r="H5" s="4">
        <v>25952.9</v>
      </c>
      <c r="I5" s="4">
        <v>14220.8</v>
      </c>
      <c r="J5" s="10">
        <v>1497.87</v>
      </c>
      <c r="K5" s="14">
        <f>J5/M5</f>
        <v>0.25156823918859678</v>
      </c>
      <c r="L5" s="10">
        <v>7452</v>
      </c>
      <c r="M5" s="10">
        <v>5954.13</v>
      </c>
      <c r="N5" s="12">
        <v>2.16</v>
      </c>
      <c r="O5" s="12">
        <f>N5*1.06</f>
        <v>2.2896000000000001</v>
      </c>
      <c r="P5" s="12">
        <v>2.85</v>
      </c>
      <c r="Q5" s="15">
        <f>(P5-O5)/O5</f>
        <v>0.24475890985324947</v>
      </c>
      <c r="R5">
        <v>5000</v>
      </c>
      <c r="S5" s="20">
        <v>0</v>
      </c>
      <c r="T5">
        <v>0</v>
      </c>
      <c r="U5" s="17">
        <f>SUM(H5,L5,R5,S5,T5)</f>
        <v>38404.9</v>
      </c>
      <c r="V5" s="17">
        <f>SUM(I5,M5)</f>
        <v>20174.93</v>
      </c>
      <c r="W5" s="18">
        <f>(U5-V5)/V5</f>
        <v>0.90359520454346065</v>
      </c>
      <c r="X5" s="1">
        <v>46140.588993055557</v>
      </c>
    </row>
    <row r="6" spans="1:25" x14ac:dyDescent="0.25">
      <c r="A6" s="6" t="s">
        <v>26</v>
      </c>
      <c r="B6" s="6" t="s">
        <v>17</v>
      </c>
      <c r="C6" s="6" t="s">
        <v>34</v>
      </c>
      <c r="D6" s="6" t="s">
        <v>35</v>
      </c>
      <c r="E6" s="8">
        <v>254.4</v>
      </c>
      <c r="F6" s="4">
        <v>8077.61</v>
      </c>
      <c r="G6" s="13">
        <f>F6/I6</f>
        <v>0.72465730074999102</v>
      </c>
      <c r="H6" s="4">
        <v>19224.400000000001</v>
      </c>
      <c r="I6" s="4">
        <v>11146.8</v>
      </c>
      <c r="J6" s="10">
        <v>1052.3</v>
      </c>
      <c r="K6" s="14">
        <f>J6/M6</f>
        <v>0.19430544527946525</v>
      </c>
      <c r="L6" s="10">
        <v>6468</v>
      </c>
      <c r="M6" s="10">
        <v>5415.7</v>
      </c>
      <c r="N6" s="12">
        <v>2.14</v>
      </c>
      <c r="O6" s="12">
        <f>N6*1.06</f>
        <v>2.2684000000000002</v>
      </c>
      <c r="P6" s="12">
        <v>2.67</v>
      </c>
      <c r="Q6" s="15">
        <f>(P6-O6)/O6</f>
        <v>0.17704108622817832</v>
      </c>
      <c r="R6">
        <v>5000</v>
      </c>
      <c r="S6" s="20">
        <v>0</v>
      </c>
      <c r="T6">
        <v>0</v>
      </c>
      <c r="U6" s="17">
        <f>SUM(H6,L6,R6,S6,T6)</f>
        <v>30692.400000000001</v>
      </c>
      <c r="V6" s="17">
        <f>SUM(I6,M6)</f>
        <v>16562.5</v>
      </c>
      <c r="W6" s="18">
        <f>(U6-V6)/V6</f>
        <v>0.85312603773584916</v>
      </c>
      <c r="X6" s="1">
        <v>46140.589062500003</v>
      </c>
      <c r="Y6" t="s">
        <v>69</v>
      </c>
    </row>
    <row r="7" spans="1:25" x14ac:dyDescent="0.25">
      <c r="A7" s="6" t="s">
        <v>26</v>
      </c>
      <c r="B7" s="6" t="s">
        <v>41</v>
      </c>
      <c r="C7" s="6" t="s">
        <v>42</v>
      </c>
      <c r="D7" s="6" t="s">
        <v>30</v>
      </c>
      <c r="E7" s="8">
        <v>98.9</v>
      </c>
      <c r="F7" s="4">
        <v>48579.8</v>
      </c>
      <c r="G7" s="13">
        <f>F7/I7</f>
        <v>0.79417818240670657</v>
      </c>
      <c r="H7" s="4">
        <v>109750</v>
      </c>
      <c r="I7" s="4">
        <v>61169.9</v>
      </c>
      <c r="J7" s="10">
        <v>4919.71</v>
      </c>
      <c r="K7" s="14">
        <f>J7/M7</f>
        <v>0.27078537892923388</v>
      </c>
      <c r="L7" s="10">
        <v>23088</v>
      </c>
      <c r="M7" s="10">
        <v>18168.3</v>
      </c>
      <c r="N7" s="12">
        <v>5.71</v>
      </c>
      <c r="O7" s="12">
        <f>N7*1.06</f>
        <v>6.0526</v>
      </c>
      <c r="P7" s="12">
        <v>7.42</v>
      </c>
      <c r="Q7" s="15">
        <f>(P7-O7)/O7</f>
        <v>0.22591943957968474</v>
      </c>
      <c r="R7">
        <v>5000</v>
      </c>
      <c r="S7" s="20">
        <v>0</v>
      </c>
      <c r="T7">
        <v>0</v>
      </c>
      <c r="U7" s="17">
        <f>SUM(H7,L7,R7,S7,T7)</f>
        <v>137838</v>
      </c>
      <c r="V7" s="17">
        <f>SUM(I7,M7)</f>
        <v>79338.2</v>
      </c>
      <c r="W7" s="18">
        <f>(U7-V7)/V7</f>
        <v>0.73734720475130522</v>
      </c>
      <c r="X7" s="1">
        <v>46140.587951388887</v>
      </c>
    </row>
    <row r="8" spans="1:25" x14ac:dyDescent="0.25">
      <c r="A8" s="6" t="s">
        <v>26</v>
      </c>
      <c r="B8" s="6" t="s">
        <v>17</v>
      </c>
      <c r="C8" s="6" t="s">
        <v>36</v>
      </c>
      <c r="D8" s="6" t="s">
        <v>23</v>
      </c>
      <c r="E8" s="8">
        <v>171.8</v>
      </c>
      <c r="F8" s="4">
        <v>8848.42</v>
      </c>
      <c r="G8" s="13">
        <f>F8/I8</f>
        <v>0.62221675292529255</v>
      </c>
      <c r="H8" s="4">
        <v>23069.3</v>
      </c>
      <c r="I8" s="4">
        <v>14220.8</v>
      </c>
      <c r="J8" s="10">
        <v>813.87</v>
      </c>
      <c r="K8" s="14">
        <f>J8/M8</f>
        <v>0.13668999501186571</v>
      </c>
      <c r="L8" s="10">
        <v>6768</v>
      </c>
      <c r="M8" s="10">
        <v>5954.13</v>
      </c>
      <c r="N8" s="12">
        <v>2.16</v>
      </c>
      <c r="O8" s="12">
        <f>N8*1.06</f>
        <v>2.2896000000000001</v>
      </c>
      <c r="P8" s="12">
        <v>2.5299999999999998</v>
      </c>
      <c r="Q8" s="15">
        <f>(P8-O8)/O8</f>
        <v>0.10499650593990205</v>
      </c>
      <c r="R8">
        <v>5000</v>
      </c>
      <c r="S8" s="20">
        <v>0</v>
      </c>
      <c r="T8">
        <v>0</v>
      </c>
      <c r="U8" s="17">
        <f>SUM(H8,L8,R8,S8,T8)</f>
        <v>34837.300000000003</v>
      </c>
      <c r="V8" s="17">
        <f>SUM(I8,M8)</f>
        <v>20174.93</v>
      </c>
      <c r="W8" s="18">
        <f>(U8-V8)/V8</f>
        <v>0.72676187724071417</v>
      </c>
      <c r="X8" s="1">
        <v>46140.588912037034</v>
      </c>
    </row>
    <row r="9" spans="1:25" x14ac:dyDescent="0.25">
      <c r="A9" s="6" t="s">
        <v>26</v>
      </c>
      <c r="B9" s="6" t="s">
        <v>39</v>
      </c>
      <c r="C9" s="6" t="s">
        <v>40</v>
      </c>
      <c r="D9" s="6" t="s">
        <v>30</v>
      </c>
      <c r="E9" s="8">
        <v>103.7</v>
      </c>
      <c r="F9" s="4">
        <v>50537.9</v>
      </c>
      <c r="G9" s="13">
        <f>F9/I9</f>
        <v>0.7672276638510539</v>
      </c>
      <c r="H9" s="4">
        <v>116409</v>
      </c>
      <c r="I9" s="4">
        <v>65870.8</v>
      </c>
      <c r="J9" s="10">
        <v>4952.3</v>
      </c>
      <c r="K9" s="14">
        <f>J9/M9</f>
        <v>0.25485675468435598</v>
      </c>
      <c r="L9" s="10">
        <v>24384</v>
      </c>
      <c r="M9" s="10">
        <v>19431.7</v>
      </c>
      <c r="N9" s="12">
        <v>6.15</v>
      </c>
      <c r="O9" s="12">
        <f>N9*1.06</f>
        <v>6.519000000000001</v>
      </c>
      <c r="P9" s="12">
        <v>7.87</v>
      </c>
      <c r="Q9" s="15">
        <f>(P9-O9)/O9</f>
        <v>0.20724037429053518</v>
      </c>
      <c r="R9">
        <v>5000</v>
      </c>
      <c r="S9" s="20">
        <v>1000</v>
      </c>
      <c r="T9">
        <v>0</v>
      </c>
      <c r="U9" s="17">
        <f>SUM(H9,L9,R9,S9,T9)</f>
        <v>146793</v>
      </c>
      <c r="V9" s="17">
        <f>SUM(I9,M9)</f>
        <v>85302.5</v>
      </c>
      <c r="W9" s="18">
        <f>(U9-V9)/V9</f>
        <v>0.72085226107089473</v>
      </c>
      <c r="X9" s="1">
        <v>46140.588240740741</v>
      </c>
    </row>
    <row r="10" spans="1:25" x14ac:dyDescent="0.25">
      <c r="A10" s="6" t="s">
        <v>26</v>
      </c>
      <c r="B10" s="6" t="s">
        <v>41</v>
      </c>
      <c r="C10" s="6" t="s">
        <v>44</v>
      </c>
      <c r="D10" s="6" t="s">
        <v>30</v>
      </c>
      <c r="E10" s="8">
        <v>106.1</v>
      </c>
      <c r="F10" s="4">
        <v>46606.7</v>
      </c>
      <c r="G10" s="13">
        <f>F10/I10</f>
        <v>0.76192212182789243</v>
      </c>
      <c r="H10" s="4">
        <v>107777</v>
      </c>
      <c r="I10" s="4">
        <v>61169.9</v>
      </c>
      <c r="J10" s="10">
        <v>4535.71</v>
      </c>
      <c r="K10" s="14">
        <f>J10/M10</f>
        <v>0.24964966452557477</v>
      </c>
      <c r="L10" s="10">
        <v>22704</v>
      </c>
      <c r="M10" s="10">
        <v>18168.3</v>
      </c>
      <c r="N10" s="12">
        <v>5.71</v>
      </c>
      <c r="O10" s="12">
        <f>N10*1.06</f>
        <v>6.0526</v>
      </c>
      <c r="P10" s="12">
        <v>7.28</v>
      </c>
      <c r="Q10" s="15">
        <f>(P10-O10)/O10</f>
        <v>0.20278888411591717</v>
      </c>
      <c r="R10">
        <v>5000</v>
      </c>
      <c r="S10" s="20">
        <v>0</v>
      </c>
      <c r="T10">
        <v>0</v>
      </c>
      <c r="U10" s="17">
        <f>SUM(H10,L10,R10,S10,T10)</f>
        <v>135481</v>
      </c>
      <c r="V10" s="17">
        <f>SUM(I10,M10)</f>
        <v>79338.2</v>
      </c>
      <c r="W10" s="18">
        <f>(U10-V10)/V10</f>
        <v>0.70763894315726861</v>
      </c>
      <c r="X10" s="1">
        <v>46140.587835648148</v>
      </c>
    </row>
    <row r="11" spans="1:25" x14ac:dyDescent="0.25">
      <c r="A11" s="6" t="s">
        <v>26</v>
      </c>
      <c r="B11" s="6" t="s">
        <v>41</v>
      </c>
      <c r="C11" s="6" t="s">
        <v>43</v>
      </c>
      <c r="D11" s="6" t="s">
        <v>30</v>
      </c>
      <c r="E11" s="8">
        <v>95.2</v>
      </c>
      <c r="F11" s="4">
        <v>46113.5</v>
      </c>
      <c r="G11" s="13">
        <f>F11/I11</f>
        <v>0.75385933277641448</v>
      </c>
      <c r="H11" s="4">
        <v>107283</v>
      </c>
      <c r="I11" s="4">
        <v>61169.9</v>
      </c>
      <c r="J11" s="10">
        <v>4439.71</v>
      </c>
      <c r="K11" s="14">
        <f>J11/M11</f>
        <v>0.24436573592465999</v>
      </c>
      <c r="L11" s="10">
        <v>22608</v>
      </c>
      <c r="M11" s="10">
        <v>18168.3</v>
      </c>
      <c r="N11" s="12">
        <v>5.71</v>
      </c>
      <c r="O11" s="12">
        <f>N11*1.06</f>
        <v>6.0526</v>
      </c>
      <c r="P11" s="12">
        <v>7.25</v>
      </c>
      <c r="Q11" s="15">
        <f>(P11-O11)/O11</f>
        <v>0.19783233651653834</v>
      </c>
      <c r="R11">
        <v>5000</v>
      </c>
      <c r="S11" s="20">
        <v>0</v>
      </c>
      <c r="T11">
        <v>0</v>
      </c>
      <c r="U11" s="17">
        <f>SUM(H11,L11,R11,S11,T11)</f>
        <v>134891</v>
      </c>
      <c r="V11" s="17">
        <f>SUM(I11,M11)</f>
        <v>79338.2</v>
      </c>
      <c r="W11" s="18">
        <f>(U11-V11)/V11</f>
        <v>0.70020242455714909</v>
      </c>
      <c r="X11" s="1">
        <v>46140.587893518517</v>
      </c>
    </row>
    <row r="12" spans="1:25" x14ac:dyDescent="0.25">
      <c r="A12" s="6" t="s">
        <v>26</v>
      </c>
      <c r="B12" s="6" t="s">
        <v>27</v>
      </c>
      <c r="C12" s="6" t="s">
        <v>29</v>
      </c>
      <c r="D12" s="6" t="s">
        <v>30</v>
      </c>
      <c r="E12" s="8">
        <v>106.3</v>
      </c>
      <c r="F12" s="4">
        <v>38910.9</v>
      </c>
      <c r="G12" s="13">
        <f>F12/I12</f>
        <v>0.71315932721544395</v>
      </c>
      <c r="H12" s="4">
        <v>93472.2</v>
      </c>
      <c r="I12" s="4">
        <v>54561.3</v>
      </c>
      <c r="J12" s="10">
        <v>3527.88</v>
      </c>
      <c r="K12" s="14">
        <f>J12/M12</f>
        <v>0.21521830637929248</v>
      </c>
      <c r="L12" s="10">
        <v>19920</v>
      </c>
      <c r="M12" s="10">
        <v>16392.099999999999</v>
      </c>
      <c r="N12" s="12">
        <v>5.09</v>
      </c>
      <c r="O12" s="12">
        <f>N12*1.06</f>
        <v>5.3954000000000004</v>
      </c>
      <c r="P12" s="12">
        <v>6.32</v>
      </c>
      <c r="Q12" s="15">
        <f>(P12-O12)/O12</f>
        <v>0.17136820254290688</v>
      </c>
      <c r="R12">
        <v>5000</v>
      </c>
      <c r="S12" s="20">
        <v>1000</v>
      </c>
      <c r="T12">
        <v>0</v>
      </c>
      <c r="U12" s="17">
        <f>SUM(H12,L12,R12,S12,T12)</f>
        <v>119392.2</v>
      </c>
      <c r="V12" s="17">
        <f>SUM(I12,M12)</f>
        <v>70953.399999999994</v>
      </c>
      <c r="W12" s="18">
        <f>(U12-V12)/V12</f>
        <v>0.68268469164268386</v>
      </c>
      <c r="X12" s="1">
        <v>46140.588182870371</v>
      </c>
    </row>
    <row r="13" spans="1:25" x14ac:dyDescent="0.25">
      <c r="A13" s="6" t="s">
        <v>26</v>
      </c>
      <c r="B13" s="6" t="s">
        <v>41</v>
      </c>
      <c r="C13" s="6" t="s">
        <v>45</v>
      </c>
      <c r="D13" s="6" t="s">
        <v>30</v>
      </c>
      <c r="E13" s="8">
        <v>93</v>
      </c>
      <c r="F13" s="4">
        <v>44633.7</v>
      </c>
      <c r="G13" s="13">
        <f>F13/I13</f>
        <v>0.72966769604004578</v>
      </c>
      <c r="H13" s="4">
        <v>105804</v>
      </c>
      <c r="I13" s="4">
        <v>61169.9</v>
      </c>
      <c r="J13" s="10">
        <v>4151.71</v>
      </c>
      <c r="K13" s="14">
        <f>J13/M13</f>
        <v>0.22851395012191567</v>
      </c>
      <c r="L13" s="10">
        <v>22320</v>
      </c>
      <c r="M13" s="10">
        <v>18168.3</v>
      </c>
      <c r="N13" s="12">
        <v>5.71</v>
      </c>
      <c r="O13" s="12">
        <f>N13*1.06</f>
        <v>6.0526</v>
      </c>
      <c r="P13" s="12">
        <v>7.15</v>
      </c>
      <c r="Q13" s="15">
        <f>(P13-O13)/O13</f>
        <v>0.1813105111852758</v>
      </c>
      <c r="R13">
        <v>5000</v>
      </c>
      <c r="S13" s="20">
        <v>0</v>
      </c>
      <c r="T13">
        <v>0</v>
      </c>
      <c r="U13" s="17">
        <f>SUM(H13,L13,R13,S13,T13)</f>
        <v>133124</v>
      </c>
      <c r="V13" s="17">
        <f>SUM(I13,M13)</f>
        <v>79338.2</v>
      </c>
      <c r="W13" s="18">
        <f>(U13-V13)/V13</f>
        <v>0.67793068156323189</v>
      </c>
      <c r="X13" s="1">
        <v>46140.587777777779</v>
      </c>
    </row>
    <row r="14" spans="1:25" x14ac:dyDescent="0.25">
      <c r="A14" s="6" t="s">
        <v>26</v>
      </c>
      <c r="B14" s="6" t="s">
        <v>41</v>
      </c>
      <c r="C14" s="6" t="s">
        <v>46</v>
      </c>
      <c r="D14" s="6" t="s">
        <v>30</v>
      </c>
      <c r="E14" s="8">
        <v>91.9</v>
      </c>
      <c r="F14" s="4">
        <v>43893.8</v>
      </c>
      <c r="G14" s="13">
        <f>F14/I14</f>
        <v>0.71757187767186148</v>
      </c>
      <c r="H14" s="4">
        <v>105064</v>
      </c>
      <c r="I14" s="4">
        <v>61169.9</v>
      </c>
      <c r="J14" s="10">
        <v>4007.71</v>
      </c>
      <c r="K14" s="14">
        <f>J14/M14</f>
        <v>0.22058805722054348</v>
      </c>
      <c r="L14" s="10">
        <v>22176</v>
      </c>
      <c r="M14" s="10">
        <v>18168.3</v>
      </c>
      <c r="N14" s="12">
        <v>5.71</v>
      </c>
      <c r="O14" s="12">
        <f>N14*1.06</f>
        <v>6.0526</v>
      </c>
      <c r="P14" s="12">
        <v>7.1</v>
      </c>
      <c r="Q14" s="15">
        <f>(P14-O14)/O14</f>
        <v>0.17304959851964438</v>
      </c>
      <c r="R14">
        <v>5000</v>
      </c>
      <c r="S14" s="20">
        <v>0</v>
      </c>
      <c r="T14">
        <v>0</v>
      </c>
      <c r="U14" s="17">
        <f>SUM(H14,L14,R14,S14,T14)</f>
        <v>132240</v>
      </c>
      <c r="V14" s="17">
        <f>SUM(I14,M14)</f>
        <v>79338.2</v>
      </c>
      <c r="W14" s="18">
        <f>(U14-V14)/V14</f>
        <v>0.66678850793186639</v>
      </c>
      <c r="X14" s="1">
        <v>46140.587731481479</v>
      </c>
    </row>
    <row r="15" spans="1:25" x14ac:dyDescent="0.25">
      <c r="A15" s="6" t="s">
        <v>26</v>
      </c>
      <c r="B15" s="6" t="s">
        <v>27</v>
      </c>
      <c r="C15" s="6" t="s">
        <v>32</v>
      </c>
      <c r="D15" s="6" t="s">
        <v>30</v>
      </c>
      <c r="E15" s="8">
        <v>105.5</v>
      </c>
      <c r="F15" s="4">
        <v>38417.699999999997</v>
      </c>
      <c r="G15" s="13">
        <f>F15/I15</f>
        <v>0.70411995315360876</v>
      </c>
      <c r="H15" s="4">
        <v>92979</v>
      </c>
      <c r="I15" s="4">
        <v>54561.3</v>
      </c>
      <c r="J15" s="10">
        <v>3431.88</v>
      </c>
      <c r="K15" s="14">
        <f>J15/M15</f>
        <v>0.20936182673360951</v>
      </c>
      <c r="L15" s="10">
        <v>19824</v>
      </c>
      <c r="M15" s="10">
        <v>16392.099999999999</v>
      </c>
      <c r="N15" s="12">
        <v>5.09</v>
      </c>
      <c r="O15" s="12">
        <f>N15*1.06</f>
        <v>5.3954000000000004</v>
      </c>
      <c r="P15" s="12">
        <v>6.28</v>
      </c>
      <c r="Q15" s="15">
        <f>(P15-O15)/O15</f>
        <v>0.16395447974200239</v>
      </c>
      <c r="R15">
        <v>5000</v>
      </c>
      <c r="S15" s="20">
        <v>0</v>
      </c>
      <c r="T15">
        <v>0</v>
      </c>
      <c r="U15" s="17">
        <f>SUM(H15,L15,R15,S15,T15)</f>
        <v>117803</v>
      </c>
      <c r="V15" s="17">
        <f>SUM(I15,M15)</f>
        <v>70953.399999999994</v>
      </c>
      <c r="W15" s="18">
        <f>(U15-V15)/V15</f>
        <v>0.66028689252382566</v>
      </c>
      <c r="X15" s="1">
        <v>46140.588125000002</v>
      </c>
    </row>
    <row r="16" spans="1:25" x14ac:dyDescent="0.25">
      <c r="A16" s="6" t="s">
        <v>26</v>
      </c>
      <c r="B16" s="6" t="s">
        <v>27</v>
      </c>
      <c r="C16" s="6" t="s">
        <v>31</v>
      </c>
      <c r="D16" s="6" t="s">
        <v>30</v>
      </c>
      <c r="E16" s="8">
        <v>93</v>
      </c>
      <c r="F16" s="4">
        <v>37677.800000000003</v>
      </c>
      <c r="G16" s="13">
        <f>F16/I16</f>
        <v>0.69055905925995165</v>
      </c>
      <c r="H16" s="4">
        <v>92239.1</v>
      </c>
      <c r="I16" s="4">
        <v>54561.3</v>
      </c>
      <c r="J16" s="10">
        <v>3287.88</v>
      </c>
      <c r="K16" s="14">
        <f>J16/M16</f>
        <v>0.20057710726508504</v>
      </c>
      <c r="L16" s="10">
        <v>19680</v>
      </c>
      <c r="M16" s="10">
        <v>16392.099999999999</v>
      </c>
      <c r="N16" s="12">
        <v>5.09</v>
      </c>
      <c r="O16" s="12">
        <f>N16*1.06</f>
        <v>5.3954000000000004</v>
      </c>
      <c r="P16" s="12">
        <v>6.23</v>
      </c>
      <c r="Q16" s="15">
        <f>(P16-O16)/O16</f>
        <v>0.15468732624087184</v>
      </c>
      <c r="R16">
        <v>5000</v>
      </c>
      <c r="S16" s="20">
        <v>0</v>
      </c>
      <c r="T16">
        <v>0</v>
      </c>
      <c r="U16" s="17">
        <f>SUM(H16,L16,R16,S16,T16)</f>
        <v>116919.1</v>
      </c>
      <c r="V16" s="17">
        <f>SUM(I16,M16)</f>
        <v>70953.399999999994</v>
      </c>
      <c r="W16" s="18">
        <f>(U16-V16)/V16</f>
        <v>0.64782942043651204</v>
      </c>
      <c r="X16" s="1">
        <v>46140.588020833333</v>
      </c>
    </row>
    <row r="17" spans="1:24" x14ac:dyDescent="0.25">
      <c r="A17" s="6" t="s">
        <v>52</v>
      </c>
      <c r="B17" s="6" t="s">
        <v>53</v>
      </c>
      <c r="C17" s="6" t="s">
        <v>54</v>
      </c>
      <c r="D17" s="6" t="s">
        <v>55</v>
      </c>
      <c r="E17" s="8">
        <v>107.4</v>
      </c>
      <c r="F17" s="4">
        <v>29801.9</v>
      </c>
      <c r="G17" s="13">
        <f>F17/I17</f>
        <v>0.64563014250618511</v>
      </c>
      <c r="H17" s="4">
        <v>75961.2</v>
      </c>
      <c r="I17" s="4">
        <v>46159.4</v>
      </c>
      <c r="J17" s="10">
        <v>2602.39</v>
      </c>
      <c r="K17" s="14">
        <f>J17/M17</f>
        <v>0.17625397900440229</v>
      </c>
      <c r="L17" s="10">
        <v>17367.3</v>
      </c>
      <c r="M17" s="10">
        <v>14765</v>
      </c>
      <c r="N17" s="12">
        <v>6.86</v>
      </c>
      <c r="O17" s="12">
        <f>N17*1.06</f>
        <v>7.2716000000000003</v>
      </c>
      <c r="P17" s="12">
        <v>8.17</v>
      </c>
      <c r="Q17" s="15">
        <f>(P17-O17)/O17</f>
        <v>0.12354915011826828</v>
      </c>
      <c r="R17">
        <v>5000</v>
      </c>
      <c r="S17" s="20">
        <v>0</v>
      </c>
      <c r="T17">
        <v>0</v>
      </c>
      <c r="U17" s="17">
        <f>SUM(H17,L17,R17,S17,T17)</f>
        <v>98328.5</v>
      </c>
      <c r="V17" s="17">
        <f>SUM(I17,M17)</f>
        <v>60924.4</v>
      </c>
      <c r="W17" s="18">
        <f>(U17-V17)/V17</f>
        <v>0.61394285376630708</v>
      </c>
      <c r="X17" s="1">
        <v>46140.588541666664</v>
      </c>
    </row>
    <row r="18" spans="1:24" x14ac:dyDescent="0.25">
      <c r="A18" s="6" t="s">
        <v>61</v>
      </c>
      <c r="B18" s="6" t="s">
        <v>21</v>
      </c>
      <c r="C18" s="6" t="s">
        <v>65</v>
      </c>
      <c r="D18" s="6" t="s">
        <v>30</v>
      </c>
      <c r="E18" s="8">
        <v>55.7</v>
      </c>
      <c r="F18" s="4">
        <v>79925.8</v>
      </c>
      <c r="G18" s="13">
        <f>F18/I18</f>
        <v>0.66012372292012522</v>
      </c>
      <c r="H18" s="4">
        <v>201002</v>
      </c>
      <c r="I18" s="4">
        <v>121077</v>
      </c>
      <c r="J18" s="10">
        <v>6578.97</v>
      </c>
      <c r="K18" s="14">
        <f>J18/M18</f>
        <v>0.19198021535498555</v>
      </c>
      <c r="L18" s="10">
        <v>40848</v>
      </c>
      <c r="M18" s="10">
        <v>34269</v>
      </c>
      <c r="N18" s="12">
        <v>11.3</v>
      </c>
      <c r="O18" s="12">
        <f>N18*1.06</f>
        <v>11.978000000000002</v>
      </c>
      <c r="P18" s="12">
        <v>13.58</v>
      </c>
      <c r="Q18" s="15">
        <f>(P18-O18)/O18</f>
        <v>0.13374519953247607</v>
      </c>
      <c r="R18">
        <v>0</v>
      </c>
      <c r="S18" s="20">
        <v>1000</v>
      </c>
      <c r="T18">
        <v>0</v>
      </c>
      <c r="U18" s="17">
        <f>SUM(H18,L18,R18,S18,T18)</f>
        <v>242850</v>
      </c>
      <c r="V18" s="17">
        <f>SUM(I18,M18)</f>
        <v>155346</v>
      </c>
      <c r="W18" s="18">
        <f>(U18-V18)/V18</f>
        <v>0.56328453902900621</v>
      </c>
      <c r="X18" s="1">
        <v>46140.588807870372</v>
      </c>
    </row>
    <row r="19" spans="1:24" x14ac:dyDescent="0.25">
      <c r="A19" s="6" t="s">
        <v>52</v>
      </c>
      <c r="B19" s="6" t="s">
        <v>53</v>
      </c>
      <c r="C19" s="6" t="s">
        <v>59</v>
      </c>
      <c r="D19" s="6" t="s">
        <v>35</v>
      </c>
      <c r="E19" s="8">
        <v>109.3</v>
      </c>
      <c r="F19" s="4">
        <v>20552.5</v>
      </c>
      <c r="G19" s="13">
        <f>F19/I19</f>
        <v>0.57218861274363786</v>
      </c>
      <c r="H19" s="4">
        <v>56471.6</v>
      </c>
      <c r="I19" s="4">
        <v>35919.1</v>
      </c>
      <c r="J19" s="10">
        <v>1886.74</v>
      </c>
      <c r="K19" s="14">
        <f>J19/M19</f>
        <v>0.12738517213208833</v>
      </c>
      <c r="L19" s="10">
        <v>16698</v>
      </c>
      <c r="M19" s="10">
        <v>14811.3</v>
      </c>
      <c r="N19" s="12">
        <v>6.88</v>
      </c>
      <c r="O19" s="12">
        <f>N19*1.06</f>
        <v>7.2928000000000006</v>
      </c>
      <c r="P19" s="12">
        <v>7.83</v>
      </c>
      <c r="Q19" s="15">
        <f>(P19-O19)/O19</f>
        <v>7.3661693725318042E-2</v>
      </c>
      <c r="R19">
        <v>5000</v>
      </c>
      <c r="S19" s="20">
        <v>1000</v>
      </c>
      <c r="T19">
        <v>0</v>
      </c>
      <c r="U19" s="17">
        <f>SUM(H19,L19,R19,S19,T19)</f>
        <v>79169.600000000006</v>
      </c>
      <c r="V19" s="17">
        <f>SUM(I19,M19)</f>
        <v>50730.399999999994</v>
      </c>
      <c r="W19" s="18">
        <f>(U19-V19)/V19</f>
        <v>0.56059483071294558</v>
      </c>
      <c r="X19" s="1">
        <v>46140.58834490741</v>
      </c>
    </row>
    <row r="20" spans="1:24" x14ac:dyDescent="0.25">
      <c r="A20" s="6" t="s">
        <v>26</v>
      </c>
      <c r="B20" s="6" t="s">
        <v>27</v>
      </c>
      <c r="C20" s="6" t="s">
        <v>28</v>
      </c>
      <c r="D20" s="6" t="s">
        <v>23</v>
      </c>
      <c r="E20" s="8">
        <v>112.5</v>
      </c>
      <c r="F20" s="4">
        <v>20856.400000000001</v>
      </c>
      <c r="G20" s="13">
        <f>F20/I20</f>
        <v>0.57599089744156251</v>
      </c>
      <c r="H20" s="4">
        <v>57066.1</v>
      </c>
      <c r="I20" s="4">
        <v>36209.599999999999</v>
      </c>
      <c r="J20" s="10">
        <v>1675.3</v>
      </c>
      <c r="K20" s="14">
        <f>J20/M20</f>
        <v>0.12733436196006595</v>
      </c>
      <c r="L20" s="10">
        <v>14832</v>
      </c>
      <c r="M20" s="10">
        <v>13156.7</v>
      </c>
      <c r="N20" s="12">
        <v>5.49</v>
      </c>
      <c r="O20" s="12">
        <f>N20*1.06</f>
        <v>5.8194000000000008</v>
      </c>
      <c r="P20" s="12">
        <v>6.27</v>
      </c>
      <c r="Q20" s="15">
        <f>(P20-O20)/O20</f>
        <v>7.7430662954943594E-2</v>
      </c>
      <c r="R20">
        <v>5000</v>
      </c>
      <c r="S20" s="20">
        <v>0</v>
      </c>
      <c r="T20">
        <v>0</v>
      </c>
      <c r="U20" s="17">
        <f>SUM(H20,L20,R20,S20,T20)</f>
        <v>76898.100000000006</v>
      </c>
      <c r="V20" s="17">
        <f>SUM(I20,M20)</f>
        <v>49366.3</v>
      </c>
      <c r="W20" s="18">
        <f>(U20-V20)/V20</f>
        <v>0.55770434486684239</v>
      </c>
      <c r="X20" s="1">
        <v>46140.588078703702</v>
      </c>
    </row>
    <row r="21" spans="1:24" x14ac:dyDescent="0.25">
      <c r="A21" s="6" t="s">
        <v>26</v>
      </c>
      <c r="B21" s="6" t="s">
        <v>49</v>
      </c>
      <c r="C21" s="6" t="s">
        <v>50</v>
      </c>
      <c r="D21" s="6" t="s">
        <v>30</v>
      </c>
      <c r="E21" s="8">
        <v>78.900000000000006</v>
      </c>
      <c r="F21" s="4">
        <v>38787.9</v>
      </c>
      <c r="G21" s="13">
        <f>F21/I21</f>
        <v>0.59634517017282496</v>
      </c>
      <c r="H21" s="4">
        <v>103831</v>
      </c>
      <c r="I21" s="4">
        <v>65042.7</v>
      </c>
      <c r="J21" s="10">
        <v>2726.86</v>
      </c>
      <c r="K21" s="14">
        <f>J21/M21</f>
        <v>0.14195667678339954</v>
      </c>
      <c r="L21" s="10">
        <v>21936</v>
      </c>
      <c r="M21" s="10">
        <v>19209.099999999999</v>
      </c>
      <c r="N21" s="12">
        <v>6.07</v>
      </c>
      <c r="O21" s="12">
        <f>N21*1.06</f>
        <v>6.4342000000000006</v>
      </c>
      <c r="P21" s="12">
        <v>7.02</v>
      </c>
      <c r="Q21" s="15">
        <f>(P21-O21)/O21</f>
        <v>9.1044729725529044E-2</v>
      </c>
      <c r="R21">
        <v>5000</v>
      </c>
      <c r="S21" s="20">
        <v>0</v>
      </c>
      <c r="T21">
        <v>0</v>
      </c>
      <c r="U21" s="17">
        <f>SUM(H21,L21,R21,S21,T21)</f>
        <v>130767</v>
      </c>
      <c r="V21" s="17">
        <f>SUM(I21,M21)</f>
        <v>84251.799999999988</v>
      </c>
      <c r="W21" s="18">
        <f>(U21-V21)/V21</f>
        <v>0.55209740326022727</v>
      </c>
      <c r="X21" s="1">
        <v>46140.587627314817</v>
      </c>
    </row>
    <row r="22" spans="1:24" x14ac:dyDescent="0.25">
      <c r="A22" s="6" t="s">
        <v>61</v>
      </c>
      <c r="B22" s="6" t="s">
        <v>21</v>
      </c>
      <c r="C22" s="6" t="s">
        <v>63</v>
      </c>
      <c r="D22" s="6" t="s">
        <v>30</v>
      </c>
      <c r="E22" s="8">
        <v>53.8</v>
      </c>
      <c r="F22" s="4">
        <v>77459.5</v>
      </c>
      <c r="G22" s="13">
        <f>F22/I22</f>
        <v>0.63975404081700071</v>
      </c>
      <c r="H22" s="4">
        <v>198536</v>
      </c>
      <c r="I22" s="4">
        <v>121077</v>
      </c>
      <c r="J22" s="10">
        <v>6098.97</v>
      </c>
      <c r="K22" s="14">
        <f>J22/M22</f>
        <v>0.17797338702617527</v>
      </c>
      <c r="L22" s="10">
        <v>40368</v>
      </c>
      <c r="M22" s="10">
        <v>34269</v>
      </c>
      <c r="N22" s="12">
        <v>11.3</v>
      </c>
      <c r="O22" s="12">
        <f>N22*1.06</f>
        <v>11.978000000000002</v>
      </c>
      <c r="P22" s="12">
        <v>13.42</v>
      </c>
      <c r="Q22" s="15">
        <f>(P22-O22)/O22</f>
        <v>0.12038737685757206</v>
      </c>
      <c r="R22">
        <v>0</v>
      </c>
      <c r="S22" s="20">
        <v>0</v>
      </c>
      <c r="T22">
        <v>0</v>
      </c>
      <c r="U22" s="17">
        <f>SUM(H22,L22,R22,S22,T22)</f>
        <v>238904</v>
      </c>
      <c r="V22" s="17">
        <f>SUM(I22,M22)</f>
        <v>155346</v>
      </c>
      <c r="W22" s="18">
        <f>(U22-V22)/V22</f>
        <v>0.53788317690832077</v>
      </c>
      <c r="X22" s="1">
        <v>46140.588622685187</v>
      </c>
    </row>
    <row r="23" spans="1:24" x14ac:dyDescent="0.25">
      <c r="A23" s="6" t="s">
        <v>26</v>
      </c>
      <c r="B23" s="6" t="s">
        <v>49</v>
      </c>
      <c r="C23" s="6" t="s">
        <v>51</v>
      </c>
      <c r="D23" s="6" t="s">
        <v>23</v>
      </c>
      <c r="E23" s="8">
        <v>85.9</v>
      </c>
      <c r="F23" s="4">
        <v>23613.8</v>
      </c>
      <c r="G23" s="13">
        <f>F23/I23</f>
        <v>0.54705135570917585</v>
      </c>
      <c r="H23" s="4">
        <v>66779.399999999994</v>
      </c>
      <c r="I23" s="4">
        <v>43165.599999999999</v>
      </c>
      <c r="J23" s="10">
        <v>1700.83</v>
      </c>
      <c r="K23" s="14">
        <f>J23/M23</f>
        <v>0.11019163988804809</v>
      </c>
      <c r="L23" s="10">
        <v>17136</v>
      </c>
      <c r="M23" s="10">
        <v>15435.2</v>
      </c>
      <c r="N23" s="12">
        <v>6.55</v>
      </c>
      <c r="O23" s="12">
        <f>N23*1.06</f>
        <v>6.9430000000000005</v>
      </c>
      <c r="P23" s="12">
        <v>7.33</v>
      </c>
      <c r="Q23" s="15">
        <f>(P23-O23)/O23</f>
        <v>5.5739593835517721E-2</v>
      </c>
      <c r="R23">
        <v>5000</v>
      </c>
      <c r="S23" s="20">
        <v>0</v>
      </c>
      <c r="T23">
        <v>0</v>
      </c>
      <c r="U23" s="17">
        <f>SUM(H23,L23,R23,S23,T23)</f>
        <v>88915.4</v>
      </c>
      <c r="V23" s="17">
        <f>SUM(I23,M23)</f>
        <v>58600.800000000003</v>
      </c>
      <c r="W23" s="18">
        <f>(U23-V23)/V23</f>
        <v>0.51730693096339964</v>
      </c>
      <c r="X23" s="1">
        <v>46140.587685185186</v>
      </c>
    </row>
    <row r="24" spans="1:24" x14ac:dyDescent="0.25">
      <c r="A24" s="6" t="s">
        <v>52</v>
      </c>
      <c r="B24" s="6" t="s">
        <v>53</v>
      </c>
      <c r="C24" s="6" t="s">
        <v>60</v>
      </c>
      <c r="D24" s="6" t="s">
        <v>35</v>
      </c>
      <c r="E24" s="8">
        <v>105.1</v>
      </c>
      <c r="F24" s="4">
        <v>18870.3</v>
      </c>
      <c r="G24" s="13">
        <f>F24/I24</f>
        <v>0.52535559075812033</v>
      </c>
      <c r="H24" s="4">
        <v>54789.5</v>
      </c>
      <c r="I24" s="4">
        <v>35919.1</v>
      </c>
      <c r="J24" s="10">
        <v>1424.74</v>
      </c>
      <c r="K24" s="14">
        <f>J24/M24</f>
        <v>9.6192771735094162E-2</v>
      </c>
      <c r="L24" s="10">
        <v>16236</v>
      </c>
      <c r="M24" s="10">
        <v>14811.3</v>
      </c>
      <c r="N24" s="12">
        <v>6.88</v>
      </c>
      <c r="O24" s="12">
        <f>N24*1.06</f>
        <v>7.2928000000000006</v>
      </c>
      <c r="P24" s="12">
        <v>7.6</v>
      </c>
      <c r="Q24" s="15">
        <f>(P24-O24)/O24</f>
        <v>4.2123738481790123E-2</v>
      </c>
      <c r="R24">
        <v>5000</v>
      </c>
      <c r="S24" s="20">
        <v>0</v>
      </c>
      <c r="T24">
        <v>0</v>
      </c>
      <c r="U24" s="17">
        <f>SUM(H24,L24,R24,S24,T24)</f>
        <v>76025.5</v>
      </c>
      <c r="V24" s="17">
        <f>SUM(I24,M24)</f>
        <v>50730.399999999994</v>
      </c>
      <c r="W24" s="18">
        <f>(U24-V24)/V24</f>
        <v>0.49861818554555076</v>
      </c>
      <c r="X24" s="1">
        <v>46140.588287037041</v>
      </c>
    </row>
    <row r="25" spans="1:24" x14ac:dyDescent="0.25">
      <c r="A25" s="6" t="s">
        <v>26</v>
      </c>
      <c r="B25" s="6" t="s">
        <v>47</v>
      </c>
      <c r="C25" s="6" t="s">
        <v>48</v>
      </c>
      <c r="D25" s="6" t="s">
        <v>30</v>
      </c>
      <c r="E25" s="8">
        <v>66</v>
      </c>
      <c r="F25" s="4">
        <v>72172.100000000006</v>
      </c>
      <c r="G25" s="13">
        <f>F25/I25</f>
        <v>0.55701242571582932</v>
      </c>
      <c r="H25" s="4">
        <v>201742</v>
      </c>
      <c r="I25" s="4">
        <v>129570</v>
      </c>
      <c r="J25" s="10">
        <v>4440.21</v>
      </c>
      <c r="K25" s="14">
        <f>J25/M25</f>
        <v>0.12147719127375395</v>
      </c>
      <c r="L25" s="10">
        <v>40992</v>
      </c>
      <c r="M25" s="10">
        <v>36551.800000000003</v>
      </c>
      <c r="N25" s="12">
        <v>12.09</v>
      </c>
      <c r="O25" s="12">
        <f>N25*1.06</f>
        <v>12.8154</v>
      </c>
      <c r="P25" s="12">
        <v>13.63</v>
      </c>
      <c r="Q25" s="15">
        <f>(P25-O25)/O25</f>
        <v>6.3564149382773882E-2</v>
      </c>
      <c r="R25">
        <v>5000</v>
      </c>
      <c r="S25" s="20">
        <v>1000</v>
      </c>
      <c r="T25">
        <v>0</v>
      </c>
      <c r="U25" s="17">
        <f>SUM(H25,L25,R25,S25,T25)</f>
        <v>248734</v>
      </c>
      <c r="V25" s="17">
        <f>SUM(I25,M25)</f>
        <v>166121.79999999999</v>
      </c>
      <c r="W25" s="18">
        <f>(U25-V25)/V25</f>
        <v>0.49729896979204424</v>
      </c>
      <c r="X25" s="1">
        <v>46140.589259259257</v>
      </c>
    </row>
    <row r="26" spans="1:24" x14ac:dyDescent="0.25">
      <c r="A26" s="6" t="s">
        <v>61</v>
      </c>
      <c r="B26" s="6" t="s">
        <v>21</v>
      </c>
      <c r="C26" s="6" t="s">
        <v>62</v>
      </c>
      <c r="D26" s="6" t="s">
        <v>23</v>
      </c>
      <c r="E26" s="8">
        <v>42.9</v>
      </c>
      <c r="F26" s="4">
        <v>43341.2</v>
      </c>
      <c r="G26" s="13">
        <f>F26/I26</f>
        <v>0.5393883202140568</v>
      </c>
      <c r="H26" s="4">
        <v>123694</v>
      </c>
      <c r="I26" s="4">
        <v>80352.5</v>
      </c>
      <c r="J26" s="10">
        <v>3020.03</v>
      </c>
      <c r="K26" s="14">
        <f>J26/M26</f>
        <v>0.10935798088064891</v>
      </c>
      <c r="L26" s="10">
        <v>30636</v>
      </c>
      <c r="M26" s="10">
        <v>27616</v>
      </c>
      <c r="N26" s="12">
        <v>12.19</v>
      </c>
      <c r="O26" s="12">
        <f>N26*1.06</f>
        <v>12.9214</v>
      </c>
      <c r="P26" s="12">
        <v>13.58</v>
      </c>
      <c r="Q26" s="15">
        <f>(P26-O26)/O26</f>
        <v>5.0969709164641587E-2</v>
      </c>
      <c r="R26">
        <v>0</v>
      </c>
      <c r="S26" s="20">
        <v>1000</v>
      </c>
      <c r="T26">
        <v>0</v>
      </c>
      <c r="U26" s="17">
        <f>SUM(H26,L26,R26,S26,T26)</f>
        <v>155330</v>
      </c>
      <c r="V26" s="17">
        <f>SUM(I26,M26)</f>
        <v>107968.5</v>
      </c>
      <c r="W26" s="18">
        <f>(U26-V26)/V26</f>
        <v>0.43866035000949349</v>
      </c>
      <c r="X26" s="1">
        <v>46140.588680555556</v>
      </c>
    </row>
    <row r="27" spans="1:24" x14ac:dyDescent="0.25">
      <c r="A27" s="6" t="s">
        <v>61</v>
      </c>
      <c r="B27" s="6" t="s">
        <v>21</v>
      </c>
      <c r="C27" s="6" t="s">
        <v>64</v>
      </c>
      <c r="D27" s="6" t="s">
        <v>23</v>
      </c>
      <c r="E27" s="8">
        <v>42.9</v>
      </c>
      <c r="F27" s="4">
        <v>43341.2</v>
      </c>
      <c r="G27" s="13">
        <f>F27/I27</f>
        <v>0.5393883202140568</v>
      </c>
      <c r="H27" s="4">
        <v>123694</v>
      </c>
      <c r="I27" s="4">
        <v>80352.5</v>
      </c>
      <c r="J27" s="10">
        <v>3020.03</v>
      </c>
      <c r="K27" s="14">
        <f>J27/M27</f>
        <v>0.10935798088064891</v>
      </c>
      <c r="L27" s="10">
        <v>30636</v>
      </c>
      <c r="M27" s="10">
        <v>27616</v>
      </c>
      <c r="N27" s="12">
        <v>12.19</v>
      </c>
      <c r="O27" s="12">
        <f>N27*1.06</f>
        <v>12.9214</v>
      </c>
      <c r="P27" s="12">
        <v>13.58</v>
      </c>
      <c r="Q27" s="15">
        <f>(P27-O27)/O27</f>
        <v>5.0969709164641587E-2</v>
      </c>
      <c r="R27">
        <v>0</v>
      </c>
      <c r="S27" s="20">
        <v>1000</v>
      </c>
      <c r="T27">
        <v>0</v>
      </c>
      <c r="U27" s="17">
        <f>SUM(H27,L27,R27,S27,T27)</f>
        <v>155330</v>
      </c>
      <c r="V27" s="17">
        <f>SUM(I27,M27)</f>
        <v>107968.5</v>
      </c>
      <c r="W27" s="18">
        <f>(U27-V27)/V27</f>
        <v>0.43866035000949349</v>
      </c>
      <c r="X27" s="1">
        <v>46140.588576388887</v>
      </c>
    </row>
    <row r="28" spans="1:24" x14ac:dyDescent="0.25">
      <c r="A28" s="6" t="s">
        <v>20</v>
      </c>
      <c r="B28" s="6" t="s">
        <v>21</v>
      </c>
      <c r="C28" s="6" t="s">
        <v>22</v>
      </c>
      <c r="D28" s="6" t="s">
        <v>23</v>
      </c>
      <c r="E28" s="8">
        <v>43.5</v>
      </c>
      <c r="F28" s="4">
        <v>43796.5</v>
      </c>
      <c r="G28" s="13">
        <f>F28/I28</f>
        <v>0.54505460315484899</v>
      </c>
      <c r="H28" s="4">
        <v>124149</v>
      </c>
      <c r="I28" s="4">
        <v>80352.5</v>
      </c>
      <c r="J28" s="10">
        <v>3128.03</v>
      </c>
      <c r="K28" s="14">
        <f>J28/M28</f>
        <v>0.11326875724217846</v>
      </c>
      <c r="L28" s="10">
        <v>30744</v>
      </c>
      <c r="M28" s="10">
        <v>27616</v>
      </c>
      <c r="N28" s="12">
        <v>12.19</v>
      </c>
      <c r="O28" s="12">
        <f>N28*1.06</f>
        <v>12.9214</v>
      </c>
      <c r="P28" s="12">
        <v>13.63</v>
      </c>
      <c r="Q28" s="15">
        <f>(P28-O28)/O28</f>
        <v>5.4839258903833996E-2</v>
      </c>
      <c r="R28">
        <v>0</v>
      </c>
      <c r="S28" s="20">
        <v>0</v>
      </c>
      <c r="T28">
        <v>0</v>
      </c>
      <c r="U28" s="17">
        <f>SUM(H28,L28,R28,S28,T28)</f>
        <v>154893</v>
      </c>
      <c r="V28" s="17">
        <f>SUM(I28,M28)</f>
        <v>107968.5</v>
      </c>
      <c r="W28" s="18">
        <f>(U28-V28)/V28</f>
        <v>0.4346128731991275</v>
      </c>
      <c r="X28" s="1">
        <v>46140.588750000003</v>
      </c>
    </row>
    <row r="29" spans="1:24" x14ac:dyDescent="0.25">
      <c r="A29" s="6" t="s">
        <v>52</v>
      </c>
      <c r="B29" s="6" t="s">
        <v>53</v>
      </c>
      <c r="C29" s="6" t="s">
        <v>57</v>
      </c>
      <c r="D29" s="6" t="s">
        <v>55</v>
      </c>
      <c r="E29" s="8">
        <v>12.4</v>
      </c>
      <c r="F29" s="4">
        <v>-11299.4</v>
      </c>
      <c r="G29" s="13">
        <f>F29/I29</f>
        <v>-0.24479087683115464</v>
      </c>
      <c r="H29" s="4">
        <v>34860</v>
      </c>
      <c r="I29" s="4">
        <v>46159.4</v>
      </c>
      <c r="J29" s="10">
        <v>-6151.96</v>
      </c>
      <c r="K29" s="14">
        <f>J29/M29</f>
        <v>-0.41665831357941074</v>
      </c>
      <c r="L29" s="10">
        <v>8613</v>
      </c>
      <c r="M29" s="10">
        <v>14765</v>
      </c>
      <c r="N29" s="12">
        <v>6.86</v>
      </c>
      <c r="O29" s="12">
        <f>N29*1.06</f>
        <v>7.2716000000000003</v>
      </c>
      <c r="P29" s="12">
        <v>3.75</v>
      </c>
      <c r="Q29" s="15">
        <f>(P29-O29)/O29</f>
        <v>-0.48429506573518899</v>
      </c>
      <c r="R29">
        <v>5000</v>
      </c>
      <c r="S29" s="20">
        <v>0</v>
      </c>
      <c r="T29">
        <v>0</v>
      </c>
      <c r="U29" s="17">
        <f>SUM(H29,L29,R29,S29,T29)</f>
        <v>48473</v>
      </c>
      <c r="V29" s="17">
        <f>SUM(I29,M29)</f>
        <v>60924.4</v>
      </c>
      <c r="W29" s="18">
        <f>(U29-V29)/V29</f>
        <v>-0.20437460196571491</v>
      </c>
      <c r="X29" s="1">
        <v>46140.588414351849</v>
      </c>
    </row>
    <row r="30" spans="1:24" x14ac:dyDescent="0.25">
      <c r="A30" s="6" t="s">
        <v>20</v>
      </c>
      <c r="B30" s="6" t="s">
        <v>21</v>
      </c>
      <c r="C30" s="6" t="s">
        <v>24</v>
      </c>
      <c r="D30" s="6" t="s">
        <v>25</v>
      </c>
      <c r="E30" s="8">
        <v>-20.399999999999999</v>
      </c>
      <c r="F30" s="4">
        <v>-8519.49</v>
      </c>
      <c r="G30" s="13">
        <f>F30/I30</f>
        <v>-0.14776543434711345</v>
      </c>
      <c r="H30" s="4">
        <v>49136</v>
      </c>
      <c r="I30" s="4">
        <v>57655.5</v>
      </c>
      <c r="J30" s="10">
        <v>-7437</v>
      </c>
      <c r="K30" s="14">
        <f>J30/M30</f>
        <v>-0.36461244300632445</v>
      </c>
      <c r="L30" s="10">
        <v>12960</v>
      </c>
      <c r="M30" s="10">
        <v>20397</v>
      </c>
      <c r="N30" s="12">
        <v>11.99</v>
      </c>
      <c r="O30" s="12">
        <f>N30*1.06</f>
        <v>12.7094</v>
      </c>
      <c r="P30" s="12">
        <v>7.4</v>
      </c>
      <c r="Q30" s="15">
        <f>(P30-O30)/O30</f>
        <v>-0.41775378853447054</v>
      </c>
      <c r="R30">
        <v>0</v>
      </c>
      <c r="S30" s="20">
        <v>0</v>
      </c>
      <c r="T30">
        <v>0</v>
      </c>
      <c r="U30" s="17">
        <f>SUM(H30,L30,R30,S30,T30)</f>
        <v>62096</v>
      </c>
      <c r="V30" s="17">
        <f>SUM(I30,M30)</f>
        <v>78052.5</v>
      </c>
      <c r="W30" s="18">
        <f>(U30-V30)/V30</f>
        <v>-0.20443291374395439</v>
      </c>
      <c r="X30" s="1">
        <v>46140.588854166665</v>
      </c>
    </row>
    <row r="31" spans="1:24" x14ac:dyDescent="0.25">
      <c r="A31" s="6" t="s">
        <v>52</v>
      </c>
      <c r="B31" s="6" t="s">
        <v>53</v>
      </c>
      <c r="C31" s="6" t="s">
        <v>56</v>
      </c>
      <c r="D31" s="6" t="s">
        <v>55</v>
      </c>
      <c r="E31" s="8">
        <v>7.8</v>
      </c>
      <c r="F31" s="4">
        <v>-13623.4</v>
      </c>
      <c r="G31" s="13">
        <f>F31/I31</f>
        <v>-0.29513815170907765</v>
      </c>
      <c r="H31" s="4">
        <v>32536</v>
      </c>
      <c r="I31" s="4">
        <v>46159.4</v>
      </c>
      <c r="J31" s="10">
        <v>-6646.96</v>
      </c>
      <c r="K31" s="14">
        <f>J31/M31</f>
        <v>-0.45018354216051476</v>
      </c>
      <c r="L31" s="10">
        <v>8118</v>
      </c>
      <c r="M31" s="10">
        <v>14765</v>
      </c>
      <c r="N31" s="12">
        <v>6.86</v>
      </c>
      <c r="O31" s="12">
        <f>N31*1.06</f>
        <v>7.2716000000000003</v>
      </c>
      <c r="P31" s="12">
        <v>3.5</v>
      </c>
      <c r="Q31" s="15">
        <f>(P31-O31)/O31</f>
        <v>-0.51867539468617641</v>
      </c>
      <c r="R31">
        <v>5000</v>
      </c>
      <c r="S31" s="20">
        <v>0</v>
      </c>
      <c r="T31">
        <v>0</v>
      </c>
      <c r="U31" s="17">
        <f>SUM(H31,L31,R31,S31,T31)</f>
        <v>45654</v>
      </c>
      <c r="V31" s="17">
        <f>SUM(I31,M31)</f>
        <v>60924.4</v>
      </c>
      <c r="W31" s="18">
        <f>(U31-V31)/V31</f>
        <v>-0.25064506174865903</v>
      </c>
      <c r="X31" s="1">
        <v>46140.588506944441</v>
      </c>
    </row>
    <row r="32" spans="1:24" x14ac:dyDescent="0.25">
      <c r="A32" s="6" t="s">
        <v>52</v>
      </c>
      <c r="B32" s="6" t="s">
        <v>53</v>
      </c>
      <c r="C32" s="6" t="s">
        <v>58</v>
      </c>
      <c r="D32" s="6" t="s">
        <v>55</v>
      </c>
      <c r="E32" s="8">
        <v>-20.399999999999999</v>
      </c>
      <c r="F32" s="4">
        <v>-34384.400000000001</v>
      </c>
      <c r="G32" s="13">
        <f>F32/I32</f>
        <v>-0.74490569634787285</v>
      </c>
      <c r="H32" s="4">
        <v>11774.9</v>
      </c>
      <c r="I32" s="4">
        <v>46159.4</v>
      </c>
      <c r="J32" s="10">
        <v>-11069</v>
      </c>
      <c r="K32" s="14">
        <f>J32/M32</f>
        <v>-0.74967829326109037</v>
      </c>
      <c r="L32" s="10">
        <v>3696</v>
      </c>
      <c r="M32" s="10">
        <v>14765</v>
      </c>
      <c r="N32" s="12">
        <v>6.86</v>
      </c>
      <c r="O32" s="12">
        <f>N32*1.06</f>
        <v>7.2716000000000003</v>
      </c>
      <c r="P32" s="12">
        <v>1.27</v>
      </c>
      <c r="Q32" s="15">
        <f>(P32-O32)/O32</f>
        <v>-0.8253479289289839</v>
      </c>
      <c r="R32">
        <v>5000</v>
      </c>
      <c r="S32" s="20">
        <v>1000</v>
      </c>
      <c r="T32">
        <v>0</v>
      </c>
      <c r="U32" s="17">
        <f>SUM(H32,L32,R32,S32,T32)</f>
        <v>21470.9</v>
      </c>
      <c r="V32" s="17">
        <f>SUM(I32,M32)</f>
        <v>60924.4</v>
      </c>
      <c r="W32" s="18">
        <f>(U32-V32)/V32</f>
        <v>-0.6475812646493031</v>
      </c>
      <c r="X32" s="1">
        <v>46140.588449074072</v>
      </c>
    </row>
  </sheetData>
  <autoFilter ref="Q1:Q33" xr:uid="{8CC23F07-688C-42FE-A97E-25A95FA89291}"/>
  <sortState xmlns:xlrd2="http://schemas.microsoft.com/office/spreadsheetml/2017/richdata2" ref="A1:Y33">
    <sortCondition descending="1" ref="W1:W3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2026-04-28T06:10:48Z</dcterms:created>
  <dcterms:modified xsi:type="dcterms:W3CDTF">2026-04-28T15:27:46Z</dcterms:modified>
</cp:coreProperties>
</file>
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TU BA\T3\project\data\"/>
    </mc:Choice>
  </mc:AlternateContent>
  <xr:revisionPtr revIDLastSave="0" documentId="13_ncr:9_{3C2A41E9-8854-48E7-8CA8-2FBD024E34FD}" xr6:coauthVersionLast="47" xr6:coauthVersionMax="47" xr10:uidLastSave="{00000000-0000-0000-0000-000000000000}"/>
  <bookViews>
    <workbookView xWindow="-108" yWindow="-108" windowWidth="23256" windowHeight="12576" xr2:uid="{029EF015-705B-4464-9982-25829F2023F9}"/>
  </bookViews>
  <sheets>
    <sheet name="flightaware_with_ident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H86" i="1" l="1"/>
  <c r="G86" i="1"/>
  <c r="F86" i="1"/>
  <c r="E86" i="1"/>
  <c r="H85" i="1"/>
  <c r="G85" i="1"/>
  <c r="F85" i="1"/>
  <c r="E85" i="1"/>
  <c r="H84" i="1"/>
  <c r="G84" i="1"/>
  <c r="F84" i="1"/>
  <c r="E84" i="1"/>
  <c r="H83" i="1"/>
  <c r="G83" i="1"/>
  <c r="F83" i="1"/>
  <c r="E83" i="1"/>
  <c r="H82" i="1"/>
  <c r="G82" i="1"/>
  <c r="F82" i="1"/>
  <c r="E82" i="1"/>
  <c r="H81" i="1"/>
  <c r="G81" i="1"/>
  <c r="F81" i="1"/>
  <c r="E81" i="1"/>
  <c r="H80" i="1"/>
  <c r="G80" i="1"/>
  <c r="F80" i="1"/>
  <c r="E80" i="1"/>
  <c r="H79" i="1"/>
  <c r="G79" i="1"/>
  <c r="F79" i="1"/>
  <c r="E79" i="1"/>
  <c r="H78" i="1"/>
  <c r="G78" i="1"/>
  <c r="F78" i="1"/>
  <c r="E78" i="1"/>
  <c r="H77" i="1"/>
  <c r="G77" i="1"/>
  <c r="F77" i="1"/>
  <c r="E77" i="1"/>
  <c r="H76" i="1"/>
  <c r="G76" i="1"/>
  <c r="F76" i="1"/>
  <c r="E76" i="1"/>
  <c r="H75" i="1"/>
  <c r="G75" i="1"/>
  <c r="F75" i="1"/>
  <c r="E75" i="1"/>
  <c r="H74" i="1"/>
  <c r="G74" i="1"/>
  <c r="F74" i="1"/>
  <c r="E74" i="1"/>
  <c r="H73" i="1"/>
  <c r="G73" i="1"/>
  <c r="F73" i="1"/>
  <c r="E73" i="1"/>
  <c r="H72" i="1"/>
  <c r="G72" i="1"/>
  <c r="F72" i="1"/>
  <c r="E72" i="1"/>
  <c r="H71" i="1"/>
  <c r="G71" i="1"/>
  <c r="F71" i="1"/>
  <c r="E71" i="1"/>
  <c r="H70" i="1"/>
  <c r="G70" i="1"/>
  <c r="F70" i="1"/>
  <c r="E70" i="1"/>
  <c r="H69" i="1"/>
  <c r="G69" i="1"/>
  <c r="F69" i="1"/>
  <c r="E69" i="1"/>
  <c r="H68" i="1"/>
  <c r="G68" i="1"/>
  <c r="F68" i="1"/>
  <c r="E68" i="1"/>
  <c r="H67" i="1"/>
  <c r="G67" i="1"/>
  <c r="F67" i="1"/>
  <c r="E67" i="1"/>
  <c r="H66" i="1"/>
  <c r="G66" i="1"/>
  <c r="F66" i="1"/>
  <c r="E66" i="1"/>
  <c r="H65" i="1"/>
  <c r="G65" i="1"/>
  <c r="F65" i="1"/>
  <c r="E65" i="1"/>
  <c r="H64" i="1"/>
  <c r="G64" i="1"/>
  <c r="F64" i="1"/>
  <c r="E64" i="1"/>
  <c r="H63" i="1"/>
  <c r="G63" i="1"/>
  <c r="F63" i="1"/>
  <c r="E63" i="1"/>
  <c r="H62" i="1"/>
  <c r="G62" i="1"/>
  <c r="F62" i="1"/>
  <c r="E62" i="1"/>
  <c r="H61" i="1"/>
  <c r="G61" i="1"/>
  <c r="F61" i="1"/>
  <c r="E61" i="1"/>
  <c r="H60" i="1"/>
  <c r="G60" i="1"/>
  <c r="F60" i="1"/>
  <c r="E60" i="1"/>
  <c r="H59" i="1"/>
  <c r="G59" i="1"/>
  <c r="F59" i="1"/>
  <c r="E59" i="1"/>
  <c r="H58" i="1"/>
  <c r="G58" i="1"/>
  <c r="F58" i="1"/>
  <c r="E58" i="1"/>
  <c r="H57" i="1"/>
  <c r="G57" i="1"/>
  <c r="F57" i="1"/>
  <c r="E57" i="1"/>
  <c r="H56" i="1"/>
  <c r="G56" i="1"/>
  <c r="F56" i="1"/>
  <c r="E56" i="1"/>
  <c r="H55" i="1"/>
  <c r="G55" i="1"/>
  <c r="F55" i="1"/>
  <c r="E55" i="1"/>
  <c r="H54" i="1"/>
  <c r="G54" i="1"/>
  <c r="F54" i="1"/>
  <c r="E54" i="1"/>
  <c r="H53" i="1"/>
  <c r="G53" i="1"/>
  <c r="F53" i="1"/>
  <c r="E53" i="1"/>
  <c r="H52" i="1"/>
  <c r="G52" i="1"/>
  <c r="F52" i="1"/>
  <c r="E52" i="1"/>
  <c r="H51" i="1"/>
  <c r="G51" i="1"/>
  <c r="F51" i="1"/>
  <c r="E51" i="1"/>
  <c r="H50" i="1"/>
  <c r="G50" i="1"/>
  <c r="F50" i="1"/>
  <c r="E50" i="1"/>
  <c r="H49" i="1"/>
  <c r="G49" i="1"/>
  <c r="F49" i="1"/>
  <c r="E49" i="1"/>
  <c r="H48" i="1"/>
  <c r="G48" i="1"/>
  <c r="F48" i="1"/>
  <c r="E48" i="1"/>
  <c r="H47" i="1"/>
  <c r="G47" i="1"/>
  <c r="F47" i="1"/>
  <c r="E47" i="1"/>
  <c r="H46" i="1"/>
  <c r="G46" i="1"/>
  <c r="F46" i="1"/>
  <c r="E46" i="1"/>
  <c r="H45" i="1"/>
  <c r="G45" i="1"/>
  <c r="F45" i="1"/>
  <c r="E45" i="1"/>
  <c r="H44" i="1"/>
  <c r="G44" i="1"/>
  <c r="F44" i="1"/>
  <c r="E44" i="1"/>
  <c r="H43" i="1"/>
  <c r="G43" i="1"/>
  <c r="F43" i="1"/>
  <c r="E43" i="1"/>
  <c r="H42" i="1"/>
  <c r="G42" i="1"/>
  <c r="F42" i="1"/>
  <c r="E42" i="1"/>
  <c r="H41" i="1"/>
  <c r="G41" i="1"/>
  <c r="F41" i="1"/>
  <c r="E41" i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H17" i="1"/>
  <c r="G17" i="1"/>
  <c r="F17" i="1"/>
  <c r="E17" i="1"/>
  <c r="H16" i="1"/>
  <c r="G16" i="1"/>
  <c r="F16" i="1"/>
  <c r="E16" i="1"/>
  <c r="H15" i="1"/>
  <c r="G15" i="1"/>
  <c r="F15" i="1"/>
  <c r="E15" i="1"/>
  <c r="H14" i="1"/>
  <c r="G14" i="1"/>
  <c r="F14" i="1"/>
  <c r="E14" i="1"/>
  <c r="H13" i="1"/>
  <c r="G13" i="1"/>
  <c r="F13" i="1"/>
  <c r="E13" i="1"/>
  <c r="H12" i="1"/>
  <c r="G12" i="1"/>
  <c r="F12" i="1"/>
  <c r="E12" i="1"/>
  <c r="H11" i="1"/>
  <c r="G11" i="1"/>
  <c r="F11" i="1"/>
  <c r="E11" i="1"/>
  <c r="H10" i="1"/>
  <c r="G10" i="1"/>
  <c r="F10" i="1"/>
  <c r="E10" i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H5" i="1"/>
  <c r="G5" i="1"/>
  <c r="F5" i="1"/>
  <c r="E5" i="1"/>
  <c r="H4" i="1"/>
  <c r="G4" i="1"/>
  <c r="F4" i="1"/>
  <c r="E4" i="1"/>
  <c r="H3" i="1"/>
  <c r="G3" i="1"/>
  <c r="F3" i="1"/>
  <c r="E3" i="1"/>
  <c r="H2" i="1"/>
  <c r="G2" i="1"/>
  <c r="F2" i="1"/>
  <c r="E2" i="1"/>
</calcChain>
</file>

<file path=xl/sharedStrings.xml><?xml version="1.0" encoding="utf-8"?>
<sst xmlns="http://schemas.openxmlformats.org/spreadsheetml/2006/main" count="348" uniqueCount="58">
  <si>
    <t>route</t>
  </si>
  <si>
    <t>airline</t>
  </si>
  <si>
    <t>ident</t>
  </si>
  <si>
    <t>aircraft_model</t>
  </si>
  <si>
    <t>SIN-DXB</t>
  </si>
  <si>
    <t>Emirates</t>
  </si>
  <si>
    <t>UAE353</t>
  </si>
  <si>
    <t>Airbus A380-800 (quad-jet)</t>
  </si>
  <si>
    <t>UAE355</t>
  </si>
  <si>
    <t>BOEING 777-300ER (twin-jet)</t>
  </si>
  <si>
    <t>LHR-DXB</t>
  </si>
  <si>
    <t>UAE8</t>
  </si>
  <si>
    <t>UAE6</t>
  </si>
  <si>
    <t>UAE4</t>
  </si>
  <si>
    <t>UAE30</t>
  </si>
  <si>
    <t>UAE2</t>
  </si>
  <si>
    <t>BKK-DXB</t>
  </si>
  <si>
    <t>UAE375</t>
  </si>
  <si>
    <t>UAE371</t>
  </si>
  <si>
    <t>UAE385</t>
  </si>
  <si>
    <t>UAE373</t>
  </si>
  <si>
    <t>HKG-DXB</t>
  </si>
  <si>
    <t>UAE381</t>
  </si>
  <si>
    <t>DOH-SIN</t>
  </si>
  <si>
    <t>Qatar Airways</t>
  </si>
  <si>
    <t>QTR948</t>
  </si>
  <si>
    <t>Airbus A350-900 (twin-jet)</t>
  </si>
  <si>
    <t>QTR942</t>
  </si>
  <si>
    <t>QTR8408</t>
  </si>
  <si>
    <t>Boeing 777-200 (twin-jet)</t>
  </si>
  <si>
    <t>QTR8432</t>
  </si>
  <si>
    <t>A7-BTC</t>
  </si>
  <si>
    <t>A7-BFQ</t>
  </si>
  <si>
    <t>SIN-LHR</t>
  </si>
  <si>
    <t>Singapore Airlines</t>
  </si>
  <si>
    <t>SIA318</t>
  </si>
  <si>
    <t>SIA308</t>
  </si>
  <si>
    <t>SIA306</t>
  </si>
  <si>
    <t>British Airways</t>
  </si>
  <si>
    <t>BAW12</t>
  </si>
  <si>
    <t>SIA322</t>
  </si>
  <si>
    <t>BAW16</t>
  </si>
  <si>
    <t>Boeing 787-9 Dreamliner (twin-jet)</t>
  </si>
  <si>
    <t>BOM-DXB</t>
  </si>
  <si>
    <t>UAE505</t>
  </si>
  <si>
    <t>UAE501</t>
  </si>
  <si>
    <t>UAE509</t>
  </si>
  <si>
    <t>UAE503</t>
  </si>
  <si>
    <t>UAE507</t>
  </si>
  <si>
    <t>Air India</t>
  </si>
  <si>
    <t>AIC4217</t>
  </si>
  <si>
    <t>Boeing 787-8 (twin-jet)</t>
  </si>
  <si>
    <t>MEL-DXB</t>
  </si>
  <si>
    <t>UAE407</t>
  </si>
  <si>
    <t xml:space="preserve"> cruise_speed_kmh</t>
    <phoneticPr fontId="18" type="noConversion"/>
  </si>
  <si>
    <t xml:space="preserve"> fuel_burn_gal_per_hr</t>
    <phoneticPr fontId="18" type="noConversion"/>
  </si>
  <si>
    <t xml:space="preserve"> standard_crew_size</t>
  </si>
  <si>
    <t xml:space="preserve"> max_pax_capacity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</si>
</sst>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10" xfId="0" applyFont="1" applyBorder="1">
      <alignment vertical="center"/>
    </xf>
    <xf numFmtId="0" fontId="0" fillId="0" borderId="11" xfId="0" applyBorder="1">
      <alignment vertical="center"/>
    </xf>
    <xf numFmtId="0" fontId="0" fillId="0" borderId="10" xfId="0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lightaware_final_data.xlsx" TargetMode="External"/><Relationship Id="rId2" Type="http://schemas.openxmlformats.org/officeDocument/2006/relationships/externalLinkPath" Target="file:///E:\NTU%20BA\T3\project\flightaware_final_data.xlsx" TargetMode="External"/><Relationship Id="rId1" Type="http://schemas.openxmlformats.org/officeDocument/2006/relationships/externalLinkPath" Target="/NTU%20BA/T3/project/flightaware_fina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  <sheetName val="flightaware_final_data"/>
      <sheetName val="直飞航班"/>
      <sheetName val="航司"/>
      <sheetName val="航线"/>
      <sheetName val="Sheet5"/>
      <sheetName val="Sheet4"/>
      <sheetName val="机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aircraft_model</v>
          </cell>
          <cell r="B1" t="str">
            <v xml:space="preserve"> cruise_speed_kmh</v>
          </cell>
          <cell r="C1" t="str">
            <v xml:space="preserve"> fuel_burn_gal_per_hr</v>
          </cell>
          <cell r="D1" t="str">
            <v xml:space="preserve"> standard_crew_size</v>
          </cell>
          <cell r="E1" t="str">
            <v xml:space="preserve"> max_pax_capacity</v>
          </cell>
        </row>
        <row r="2">
          <cell r="A2" t="str">
            <v>Airbus A320 (twin-jet)</v>
          </cell>
          <cell r="B2">
            <v>840</v>
          </cell>
          <cell r="C2">
            <v>826</v>
          </cell>
          <cell r="D2">
            <v>7</v>
          </cell>
          <cell r="E2">
            <v>150</v>
          </cell>
        </row>
        <row r="3">
          <cell r="A3" t="str">
            <v>Airbus A321 (twin-jet)</v>
          </cell>
          <cell r="B3">
            <v>828</v>
          </cell>
          <cell r="C3">
            <v>950</v>
          </cell>
          <cell r="D3">
            <v>8</v>
          </cell>
          <cell r="E3">
            <v>186</v>
          </cell>
        </row>
        <row r="4">
          <cell r="A4" t="str">
            <v>Airbus A321neo (twin-jet)</v>
          </cell>
          <cell r="B4">
            <v>828</v>
          </cell>
          <cell r="C4">
            <v>650</v>
          </cell>
          <cell r="D4">
            <v>8</v>
          </cell>
          <cell r="E4">
            <v>186</v>
          </cell>
        </row>
        <row r="5">
          <cell r="A5" t="str">
            <v>Airbus A330-300 (twin-jet)</v>
          </cell>
          <cell r="B5">
            <v>860</v>
          </cell>
          <cell r="C5">
            <v>1850</v>
          </cell>
          <cell r="D5">
            <v>11</v>
          </cell>
          <cell r="E5">
            <v>335</v>
          </cell>
        </row>
        <row r="6">
          <cell r="A6" t="str">
            <v>Airbus A350-1000 (twin-jet)</v>
          </cell>
          <cell r="B6">
            <v>901.92400000000009</v>
          </cell>
          <cell r="C6">
            <v>1850</v>
          </cell>
          <cell r="D6">
            <v>11</v>
          </cell>
          <cell r="E6">
            <v>350</v>
          </cell>
        </row>
        <row r="7">
          <cell r="A7" t="str">
            <v>Airbus A350-900 (twin-jet)</v>
          </cell>
          <cell r="B7">
            <v>901.92400000000009</v>
          </cell>
          <cell r="C7">
            <v>1900</v>
          </cell>
          <cell r="D7">
            <v>11</v>
          </cell>
          <cell r="E7">
            <v>314</v>
          </cell>
        </row>
        <row r="8">
          <cell r="A8" t="str">
            <v>Airbus A380-800 (quad-jet)</v>
          </cell>
          <cell r="B8">
            <v>963.04000000000008</v>
          </cell>
          <cell r="C8">
            <v>3900</v>
          </cell>
          <cell r="D8">
            <v>16</v>
          </cell>
          <cell r="E8">
            <v>555</v>
          </cell>
        </row>
        <row r="9">
          <cell r="A9" t="str">
            <v>Boeing 737 MAX 8 (twin-jet)</v>
          </cell>
          <cell r="B9">
            <v>969.31799999999998</v>
          </cell>
          <cell r="C9">
            <v>720</v>
          </cell>
          <cell r="D9">
            <v>8</v>
          </cell>
          <cell r="E9">
            <v>170</v>
          </cell>
        </row>
        <row r="10">
          <cell r="A10" t="str">
            <v>Boeing 747-400 (quad-jet)</v>
          </cell>
          <cell r="B10">
            <v>907</v>
          </cell>
          <cell r="C10">
            <v>3400</v>
          </cell>
          <cell r="D10">
            <v>13</v>
          </cell>
          <cell r="E10">
            <v>416</v>
          </cell>
        </row>
        <row r="11">
          <cell r="A11" t="str">
            <v>Boeing 777-200 (twin-jet)</v>
          </cell>
          <cell r="B11">
            <v>905</v>
          </cell>
          <cell r="C11">
            <v>2450</v>
          </cell>
          <cell r="D11">
            <v>11</v>
          </cell>
          <cell r="E11">
            <v>305</v>
          </cell>
        </row>
        <row r="12">
          <cell r="A12" t="str">
            <v>BOEING 777-300ER (twin-jet)</v>
          </cell>
          <cell r="B12">
            <v>893</v>
          </cell>
          <cell r="C12">
            <v>2400</v>
          </cell>
          <cell r="D12">
            <v>12</v>
          </cell>
          <cell r="E12">
            <v>390</v>
          </cell>
        </row>
        <row r="13">
          <cell r="A13" t="str">
            <v>BOEING 787-10 Dreamliner (twin-jet)</v>
          </cell>
          <cell r="B13">
            <v>913</v>
          </cell>
          <cell r="C13">
            <v>1750</v>
          </cell>
          <cell r="D13">
            <v>9</v>
          </cell>
          <cell r="E13">
            <v>230</v>
          </cell>
        </row>
        <row r="14">
          <cell r="A14" t="str">
            <v>Boeing 787-8 (twin-jet)</v>
          </cell>
          <cell r="B14">
            <v>913</v>
          </cell>
          <cell r="C14">
            <v>1750</v>
          </cell>
          <cell r="D14">
            <v>9</v>
          </cell>
          <cell r="E14">
            <v>230</v>
          </cell>
        </row>
        <row r="15">
          <cell r="A15" t="str">
            <v>Boeing 787-9 Dreamliner (twin-jet)</v>
          </cell>
          <cell r="B15">
            <v>907.48</v>
          </cell>
          <cell r="C15">
            <v>1750</v>
          </cell>
          <cell r="D15">
            <v>9</v>
          </cell>
          <cell r="E15">
            <v>230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E3113-AE6B-4190-A01E-04F184C06E53}">
  <dimension ref="A1:H86"/>
  <sheetViews>
    <sheetView tabSelected="1" workbookViewId="0">
      <selection activeCell="D8" sqref="D8"/>
    </sheetView>
  </sheetViews>
  <sheetFormatPr defaultRowHeight="13.8" x14ac:dyDescent="0.25"/>
  <cols>
    <col min="1" max="1" width="10.5546875" bestFit="1" customWidth="1"/>
    <col min="2" max="2" width="17.44140625" bestFit="1" customWidth="1"/>
    <col min="4" max="4" width="30" customWidth="1"/>
    <col min="5" max="5" width="19.33203125" bestFit="1" customWidth="1"/>
    <col min="6" max="6" width="22.109375" bestFit="1" customWidth="1"/>
    <col min="7" max="7" width="20.44140625" bestFit="1" customWidth="1"/>
    <col min="8" max="8" width="18.77734375" bestFit="1" customWidth="1"/>
  </cols>
  <sheetData>
    <row r="1" spans="1:8" s="1" customFormat="1" ht="14.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s="2" customFormat="1" x14ac:dyDescent="0.25">
      <c r="A2" s="2" t="s">
        <v>4</v>
      </c>
      <c r="B2" s="2" t="s">
        <v>5</v>
      </c>
      <c r="C2" s="2" t="s">
        <v>6</v>
      </c>
      <c r="D2" s="2" t="s">
        <v>7</v>
      </c>
      <c r="E2" s="2">
        <f>VLOOKUP(D2,[1]机型!A:E,2,0)</f>
        <v>963.04000000000008</v>
      </c>
      <c r="F2" s="2">
        <f>VLOOKUP(D2,[1]机型!A:E,3,0)</f>
        <v>3900</v>
      </c>
      <c r="G2" s="2">
        <f>VLOOKUP(D2,[1]机型!A:E,4,0)</f>
        <v>16</v>
      </c>
      <c r="H2" s="2">
        <f>VLOOKUP(D2,[1]机型!A:E,5,0)</f>
        <v>555</v>
      </c>
    </row>
    <row r="3" spans="1:8" x14ac:dyDescent="0.25">
      <c r="A3" t="s">
        <v>4</v>
      </c>
      <c r="B3" t="s">
        <v>5</v>
      </c>
      <c r="C3" t="s">
        <v>8</v>
      </c>
      <c r="D3" t="s">
        <v>9</v>
      </c>
      <c r="E3">
        <f>VLOOKUP(D3,[1]机型!A:E,2,0)</f>
        <v>893</v>
      </c>
      <c r="F3">
        <f>VLOOKUP(D3,[1]机型!A:E,3,0)</f>
        <v>2400</v>
      </c>
      <c r="G3">
        <f>VLOOKUP(D3,[1]机型!A:E,4,0)</f>
        <v>12</v>
      </c>
      <c r="H3">
        <f>VLOOKUP(D3,[1]机型!A:E,5,0)</f>
        <v>390</v>
      </c>
    </row>
    <row r="4" spans="1:8" x14ac:dyDescent="0.25">
      <c r="A4" t="s">
        <v>4</v>
      </c>
      <c r="B4" t="s">
        <v>5</v>
      </c>
      <c r="C4" t="s">
        <v>6</v>
      </c>
      <c r="D4" t="s">
        <v>7</v>
      </c>
      <c r="E4">
        <f>VLOOKUP(D4,[1]机型!A:E,2,0)</f>
        <v>963.04000000000008</v>
      </c>
      <c r="F4">
        <f>VLOOKUP(D4,[1]机型!A:E,3,0)</f>
        <v>3900</v>
      </c>
      <c r="G4">
        <f>VLOOKUP(D4,[1]机型!A:E,4,0)</f>
        <v>16</v>
      </c>
      <c r="H4">
        <f>VLOOKUP(D4,[1]机型!A:E,5,0)</f>
        <v>555</v>
      </c>
    </row>
    <row r="5" spans="1:8" x14ac:dyDescent="0.25">
      <c r="A5" t="s">
        <v>4</v>
      </c>
      <c r="B5" t="s">
        <v>5</v>
      </c>
      <c r="C5" t="s">
        <v>8</v>
      </c>
      <c r="D5" t="s">
        <v>9</v>
      </c>
      <c r="E5">
        <f>VLOOKUP(D5,[1]机型!A:E,2,0)</f>
        <v>893</v>
      </c>
      <c r="F5">
        <f>VLOOKUP(D5,[1]机型!A:E,3,0)</f>
        <v>2400</v>
      </c>
      <c r="G5">
        <f>VLOOKUP(D5,[1]机型!A:E,4,0)</f>
        <v>12</v>
      </c>
      <c r="H5">
        <f>VLOOKUP(D5,[1]机型!A:E,5,0)</f>
        <v>390</v>
      </c>
    </row>
    <row r="6" spans="1:8" x14ac:dyDescent="0.25">
      <c r="A6" t="s">
        <v>4</v>
      </c>
      <c r="B6" t="s">
        <v>5</v>
      </c>
      <c r="C6" t="s">
        <v>6</v>
      </c>
      <c r="D6" t="s">
        <v>7</v>
      </c>
      <c r="E6">
        <f>VLOOKUP(D6,[1]机型!A:E,2,0)</f>
        <v>963.04000000000008</v>
      </c>
      <c r="F6">
        <f>VLOOKUP(D6,[1]机型!A:E,3,0)</f>
        <v>3900</v>
      </c>
      <c r="G6">
        <f>VLOOKUP(D6,[1]机型!A:E,4,0)</f>
        <v>16</v>
      </c>
      <c r="H6">
        <f>VLOOKUP(D6,[1]机型!A:E,5,0)</f>
        <v>555</v>
      </c>
    </row>
    <row r="7" spans="1:8" s="3" customFormat="1" ht="14.4" thickBot="1" x14ac:dyDescent="0.3">
      <c r="A7" s="3" t="s">
        <v>4</v>
      </c>
      <c r="B7" s="3" t="s">
        <v>5</v>
      </c>
      <c r="C7" s="3" t="s">
        <v>8</v>
      </c>
      <c r="D7" s="3" t="s">
        <v>9</v>
      </c>
      <c r="E7" s="3">
        <f>VLOOKUP(D7,[1]机型!A:E,2,0)</f>
        <v>893</v>
      </c>
      <c r="F7" s="3">
        <f>VLOOKUP(D7,[1]机型!A:E,3,0)</f>
        <v>2400</v>
      </c>
      <c r="G7" s="3">
        <f>VLOOKUP(D7,[1]机型!A:E,4,0)</f>
        <v>12</v>
      </c>
      <c r="H7" s="3">
        <f>VLOOKUP(D7,[1]机型!A:E,5,0)</f>
        <v>390</v>
      </c>
    </row>
    <row r="8" spans="1:8" s="2" customFormat="1" x14ac:dyDescent="0.25">
      <c r="A8" s="2" t="s">
        <v>10</v>
      </c>
      <c r="B8" s="2" t="s">
        <v>5</v>
      </c>
      <c r="C8" s="2" t="s">
        <v>11</v>
      </c>
      <c r="D8" s="2" t="s">
        <v>7</v>
      </c>
      <c r="E8" s="2">
        <f>VLOOKUP(D8,[1]机型!A:E,2,0)</f>
        <v>963.04000000000008</v>
      </c>
      <c r="F8" s="2">
        <f>VLOOKUP(D8,[1]机型!A:E,3,0)</f>
        <v>3900</v>
      </c>
      <c r="G8" s="2">
        <f>VLOOKUP(D8,[1]机型!A:E,4,0)</f>
        <v>16</v>
      </c>
      <c r="H8" s="2">
        <f>VLOOKUP(D8,[1]机型!A:E,5,0)</f>
        <v>555</v>
      </c>
    </row>
    <row r="9" spans="1:8" x14ac:dyDescent="0.25">
      <c r="A9" t="s">
        <v>10</v>
      </c>
      <c r="B9" t="s">
        <v>5</v>
      </c>
      <c r="C9" t="s">
        <v>12</v>
      </c>
      <c r="D9" t="s">
        <v>7</v>
      </c>
      <c r="E9">
        <f>VLOOKUP(D9,[1]机型!A:E,2,0)</f>
        <v>963.04000000000008</v>
      </c>
      <c r="F9">
        <f>VLOOKUP(D9,[1]机型!A:E,3,0)</f>
        <v>3900</v>
      </c>
      <c r="G9">
        <f>VLOOKUP(D9,[1]机型!A:E,4,0)</f>
        <v>16</v>
      </c>
      <c r="H9">
        <f>VLOOKUP(D9,[1]机型!A:E,5,0)</f>
        <v>555</v>
      </c>
    </row>
    <row r="10" spans="1:8" x14ac:dyDescent="0.25">
      <c r="A10" t="s">
        <v>10</v>
      </c>
      <c r="B10" t="s">
        <v>5</v>
      </c>
      <c r="C10" t="s">
        <v>13</v>
      </c>
      <c r="D10" t="s">
        <v>7</v>
      </c>
      <c r="E10">
        <f>VLOOKUP(D10,[1]机型!A:E,2,0)</f>
        <v>963.04000000000008</v>
      </c>
      <c r="F10">
        <f>VLOOKUP(D10,[1]机型!A:E,3,0)</f>
        <v>3900</v>
      </c>
      <c r="G10">
        <f>VLOOKUP(D10,[1]机型!A:E,4,0)</f>
        <v>16</v>
      </c>
      <c r="H10">
        <f>VLOOKUP(D10,[1]机型!A:E,5,0)</f>
        <v>555</v>
      </c>
    </row>
    <row r="11" spans="1:8" x14ac:dyDescent="0.25">
      <c r="A11" t="s">
        <v>10</v>
      </c>
      <c r="B11" t="s">
        <v>5</v>
      </c>
      <c r="C11" t="s">
        <v>14</v>
      </c>
      <c r="D11" t="s">
        <v>7</v>
      </c>
      <c r="E11">
        <f>VLOOKUP(D11,[1]机型!A:E,2,0)</f>
        <v>963.04000000000008</v>
      </c>
      <c r="F11">
        <f>VLOOKUP(D11,[1]机型!A:E,3,0)</f>
        <v>3900</v>
      </c>
      <c r="G11">
        <f>VLOOKUP(D11,[1]机型!A:E,4,0)</f>
        <v>16</v>
      </c>
      <c r="H11">
        <f>VLOOKUP(D11,[1]机型!A:E,5,0)</f>
        <v>555</v>
      </c>
    </row>
    <row r="12" spans="1:8" x14ac:dyDescent="0.25">
      <c r="A12" t="s">
        <v>10</v>
      </c>
      <c r="B12" t="s">
        <v>5</v>
      </c>
      <c r="C12" t="s">
        <v>15</v>
      </c>
      <c r="D12" t="s">
        <v>7</v>
      </c>
      <c r="E12">
        <f>VLOOKUP(D12,[1]机型!A:E,2,0)</f>
        <v>963.04000000000008</v>
      </c>
      <c r="F12">
        <f>VLOOKUP(D12,[1]机型!A:E,3,0)</f>
        <v>3900</v>
      </c>
      <c r="G12">
        <f>VLOOKUP(D12,[1]机型!A:E,4,0)</f>
        <v>16</v>
      </c>
      <c r="H12">
        <f>VLOOKUP(D12,[1]机型!A:E,5,0)</f>
        <v>555</v>
      </c>
    </row>
    <row r="13" spans="1:8" x14ac:dyDescent="0.25">
      <c r="A13" t="s">
        <v>10</v>
      </c>
      <c r="B13" t="s">
        <v>5</v>
      </c>
      <c r="C13" t="s">
        <v>11</v>
      </c>
      <c r="D13" t="s">
        <v>7</v>
      </c>
      <c r="E13">
        <f>VLOOKUP(D13,[1]机型!A:E,2,0)</f>
        <v>963.04000000000008</v>
      </c>
      <c r="F13">
        <f>VLOOKUP(D13,[1]机型!A:E,3,0)</f>
        <v>3900</v>
      </c>
      <c r="G13">
        <f>VLOOKUP(D13,[1]机型!A:E,4,0)</f>
        <v>16</v>
      </c>
      <c r="H13">
        <f>VLOOKUP(D13,[1]机型!A:E,5,0)</f>
        <v>555</v>
      </c>
    </row>
    <row r="14" spans="1:8" x14ac:dyDescent="0.25">
      <c r="A14" t="s">
        <v>10</v>
      </c>
      <c r="B14" t="s">
        <v>5</v>
      </c>
      <c r="C14" t="s">
        <v>12</v>
      </c>
      <c r="D14" t="s">
        <v>7</v>
      </c>
      <c r="E14">
        <f>VLOOKUP(D14,[1]机型!A:E,2,0)</f>
        <v>963.04000000000008</v>
      </c>
      <c r="F14">
        <f>VLOOKUP(D14,[1]机型!A:E,3,0)</f>
        <v>3900</v>
      </c>
      <c r="G14">
        <f>VLOOKUP(D14,[1]机型!A:E,4,0)</f>
        <v>16</v>
      </c>
      <c r="H14">
        <f>VLOOKUP(D14,[1]机型!A:E,5,0)</f>
        <v>555</v>
      </c>
    </row>
    <row r="15" spans="1:8" x14ac:dyDescent="0.25">
      <c r="A15" t="s">
        <v>10</v>
      </c>
      <c r="B15" t="s">
        <v>5</v>
      </c>
      <c r="C15" t="s">
        <v>12</v>
      </c>
      <c r="D15" t="s">
        <v>7</v>
      </c>
      <c r="E15">
        <f>VLOOKUP(D15,[1]机型!A:E,2,0)</f>
        <v>963.04000000000008</v>
      </c>
      <c r="F15">
        <f>VLOOKUP(D15,[1]机型!A:E,3,0)</f>
        <v>3900</v>
      </c>
      <c r="G15">
        <f>VLOOKUP(D15,[1]机型!A:E,4,0)</f>
        <v>16</v>
      </c>
      <c r="H15">
        <f>VLOOKUP(D15,[1]机型!A:E,5,0)</f>
        <v>555</v>
      </c>
    </row>
    <row r="16" spans="1:8" x14ac:dyDescent="0.25">
      <c r="A16" t="s">
        <v>10</v>
      </c>
      <c r="B16" t="s">
        <v>5</v>
      </c>
      <c r="C16" t="s">
        <v>13</v>
      </c>
      <c r="D16" t="s">
        <v>7</v>
      </c>
      <c r="E16">
        <f>VLOOKUP(D16,[1]机型!A:E,2,0)</f>
        <v>963.04000000000008</v>
      </c>
      <c r="F16">
        <f>VLOOKUP(D16,[1]机型!A:E,3,0)</f>
        <v>3900</v>
      </c>
      <c r="G16">
        <f>VLOOKUP(D16,[1]机型!A:E,4,0)</f>
        <v>16</v>
      </c>
      <c r="H16">
        <f>VLOOKUP(D16,[1]机型!A:E,5,0)</f>
        <v>555</v>
      </c>
    </row>
    <row r="17" spans="1:8" x14ac:dyDescent="0.25">
      <c r="A17" t="s">
        <v>10</v>
      </c>
      <c r="B17" t="s">
        <v>5</v>
      </c>
      <c r="C17" t="s">
        <v>14</v>
      </c>
      <c r="D17" t="s">
        <v>7</v>
      </c>
      <c r="E17">
        <f>VLOOKUP(D17,[1]机型!A:E,2,0)</f>
        <v>963.04000000000008</v>
      </c>
      <c r="F17">
        <f>VLOOKUP(D17,[1]机型!A:E,3,0)</f>
        <v>3900</v>
      </c>
      <c r="G17">
        <f>VLOOKUP(D17,[1]机型!A:E,4,0)</f>
        <v>16</v>
      </c>
      <c r="H17">
        <f>VLOOKUP(D17,[1]机型!A:E,5,0)</f>
        <v>555</v>
      </c>
    </row>
    <row r="18" spans="1:8" x14ac:dyDescent="0.25">
      <c r="A18" t="s">
        <v>10</v>
      </c>
      <c r="B18" t="s">
        <v>5</v>
      </c>
      <c r="C18" t="s">
        <v>15</v>
      </c>
      <c r="D18" t="s">
        <v>7</v>
      </c>
      <c r="E18">
        <f>VLOOKUP(D18,[1]机型!A:E,2,0)</f>
        <v>963.04000000000008</v>
      </c>
      <c r="F18">
        <f>VLOOKUP(D18,[1]机型!A:E,3,0)</f>
        <v>3900</v>
      </c>
      <c r="G18">
        <f>VLOOKUP(D18,[1]机型!A:E,4,0)</f>
        <v>16</v>
      </c>
      <c r="H18">
        <f>VLOOKUP(D18,[1]机型!A:E,5,0)</f>
        <v>555</v>
      </c>
    </row>
    <row r="19" spans="1:8" x14ac:dyDescent="0.25">
      <c r="A19" t="s">
        <v>10</v>
      </c>
      <c r="B19" t="s">
        <v>5</v>
      </c>
      <c r="C19" t="s">
        <v>11</v>
      </c>
      <c r="D19" t="s">
        <v>7</v>
      </c>
      <c r="E19">
        <f>VLOOKUP(D19,[1]机型!A:E,2,0)</f>
        <v>963.04000000000008</v>
      </c>
      <c r="F19">
        <f>VLOOKUP(D19,[1]机型!A:E,3,0)</f>
        <v>3900</v>
      </c>
      <c r="G19">
        <f>VLOOKUP(D19,[1]机型!A:E,4,0)</f>
        <v>16</v>
      </c>
      <c r="H19">
        <f>VLOOKUP(D19,[1]机型!A:E,5,0)</f>
        <v>555</v>
      </c>
    </row>
    <row r="20" spans="1:8" x14ac:dyDescent="0.25">
      <c r="A20" t="s">
        <v>10</v>
      </c>
      <c r="B20" t="s">
        <v>5</v>
      </c>
      <c r="C20" t="s">
        <v>13</v>
      </c>
      <c r="D20" t="s">
        <v>7</v>
      </c>
      <c r="E20">
        <f>VLOOKUP(D20,[1]机型!A:E,2,0)</f>
        <v>963.04000000000008</v>
      </c>
      <c r="F20">
        <f>VLOOKUP(D20,[1]机型!A:E,3,0)</f>
        <v>3900</v>
      </c>
      <c r="G20">
        <f>VLOOKUP(D20,[1]机型!A:E,4,0)</f>
        <v>16</v>
      </c>
      <c r="H20">
        <f>VLOOKUP(D20,[1]机型!A:E,5,0)</f>
        <v>555</v>
      </c>
    </row>
    <row r="21" spans="1:8" x14ac:dyDescent="0.25">
      <c r="A21" t="s">
        <v>10</v>
      </c>
      <c r="B21" t="s">
        <v>5</v>
      </c>
      <c r="C21" t="s">
        <v>14</v>
      </c>
      <c r="D21" t="s">
        <v>7</v>
      </c>
      <c r="E21">
        <f>VLOOKUP(D21,[1]机型!A:E,2,0)</f>
        <v>963.04000000000008</v>
      </c>
      <c r="F21">
        <f>VLOOKUP(D21,[1]机型!A:E,3,0)</f>
        <v>3900</v>
      </c>
      <c r="G21">
        <f>VLOOKUP(D21,[1]机型!A:E,4,0)</f>
        <v>16</v>
      </c>
      <c r="H21">
        <f>VLOOKUP(D21,[1]机型!A:E,5,0)</f>
        <v>555</v>
      </c>
    </row>
    <row r="22" spans="1:8" s="3" customFormat="1" ht="14.4" thickBot="1" x14ac:dyDescent="0.3">
      <c r="A22" s="3" t="s">
        <v>10</v>
      </c>
      <c r="B22" s="3" t="s">
        <v>5</v>
      </c>
      <c r="C22" s="3" t="s">
        <v>15</v>
      </c>
      <c r="D22" s="3" t="s">
        <v>7</v>
      </c>
      <c r="E22" s="3">
        <f>VLOOKUP(D22,[1]机型!A:E,2,0)</f>
        <v>963.04000000000008</v>
      </c>
      <c r="F22" s="3">
        <f>VLOOKUP(D22,[1]机型!A:E,3,0)</f>
        <v>3900</v>
      </c>
      <c r="G22" s="3">
        <f>VLOOKUP(D22,[1]机型!A:E,4,0)</f>
        <v>16</v>
      </c>
      <c r="H22" s="3">
        <f>VLOOKUP(D22,[1]机型!A:E,5,0)</f>
        <v>555</v>
      </c>
    </row>
    <row r="23" spans="1:8" s="2" customFormat="1" x14ac:dyDescent="0.25">
      <c r="A23" s="2" t="s">
        <v>16</v>
      </c>
      <c r="B23" s="2" t="s">
        <v>5</v>
      </c>
      <c r="C23" s="2" t="s">
        <v>17</v>
      </c>
      <c r="D23" s="2" t="s">
        <v>7</v>
      </c>
      <c r="E23" s="2">
        <f>VLOOKUP(D23,[1]机型!A:E,2,0)</f>
        <v>963.04000000000008</v>
      </c>
      <c r="F23" s="2">
        <f>VLOOKUP(D23,[1]机型!A:E,3,0)</f>
        <v>3900</v>
      </c>
      <c r="G23" s="2">
        <f>VLOOKUP(D23,[1]机型!A:E,4,0)</f>
        <v>16</v>
      </c>
      <c r="H23" s="2">
        <f>VLOOKUP(D23,[1]机型!A:E,5,0)</f>
        <v>555</v>
      </c>
    </row>
    <row r="24" spans="1:8" x14ac:dyDescent="0.25">
      <c r="A24" t="s">
        <v>16</v>
      </c>
      <c r="B24" t="s">
        <v>5</v>
      </c>
      <c r="C24" t="s">
        <v>18</v>
      </c>
      <c r="D24" t="s">
        <v>9</v>
      </c>
      <c r="E24">
        <f>VLOOKUP(D24,[1]机型!A:E,2,0)</f>
        <v>893</v>
      </c>
      <c r="F24">
        <f>VLOOKUP(D24,[1]机型!A:E,3,0)</f>
        <v>2400</v>
      </c>
      <c r="G24">
        <f>VLOOKUP(D24,[1]机型!A:E,4,0)</f>
        <v>12</v>
      </c>
      <c r="H24">
        <f>VLOOKUP(D24,[1]机型!A:E,5,0)</f>
        <v>390</v>
      </c>
    </row>
    <row r="25" spans="1:8" x14ac:dyDescent="0.25">
      <c r="A25" t="s">
        <v>16</v>
      </c>
      <c r="B25" t="s">
        <v>5</v>
      </c>
      <c r="C25" t="s">
        <v>19</v>
      </c>
      <c r="D25" t="s">
        <v>7</v>
      </c>
      <c r="E25">
        <f>VLOOKUP(D25,[1]机型!A:E,2,0)</f>
        <v>963.04000000000008</v>
      </c>
      <c r="F25">
        <f>VLOOKUP(D25,[1]机型!A:E,3,0)</f>
        <v>3900</v>
      </c>
      <c r="G25">
        <f>VLOOKUP(D25,[1]机型!A:E,4,0)</f>
        <v>16</v>
      </c>
      <c r="H25">
        <f>VLOOKUP(D25,[1]机型!A:E,5,0)</f>
        <v>555</v>
      </c>
    </row>
    <row r="26" spans="1:8" x14ac:dyDescent="0.25">
      <c r="A26" t="s">
        <v>16</v>
      </c>
      <c r="B26" t="s">
        <v>5</v>
      </c>
      <c r="C26" t="s">
        <v>20</v>
      </c>
      <c r="D26" t="s">
        <v>7</v>
      </c>
      <c r="E26">
        <f>VLOOKUP(D26,[1]机型!A:E,2,0)</f>
        <v>963.04000000000008</v>
      </c>
      <c r="F26">
        <f>VLOOKUP(D26,[1]机型!A:E,3,0)</f>
        <v>3900</v>
      </c>
      <c r="G26">
        <f>VLOOKUP(D26,[1]机型!A:E,4,0)</f>
        <v>16</v>
      </c>
      <c r="H26">
        <f>VLOOKUP(D26,[1]机型!A:E,5,0)</f>
        <v>555</v>
      </c>
    </row>
    <row r="27" spans="1:8" x14ac:dyDescent="0.25">
      <c r="A27" t="s">
        <v>16</v>
      </c>
      <c r="B27" t="s">
        <v>5</v>
      </c>
      <c r="C27" t="s">
        <v>17</v>
      </c>
      <c r="D27" t="s">
        <v>7</v>
      </c>
      <c r="E27">
        <f>VLOOKUP(D27,[1]机型!A:E,2,0)</f>
        <v>963.04000000000008</v>
      </c>
      <c r="F27">
        <f>VLOOKUP(D27,[1]机型!A:E,3,0)</f>
        <v>3900</v>
      </c>
      <c r="G27">
        <f>VLOOKUP(D27,[1]机型!A:E,4,0)</f>
        <v>16</v>
      </c>
      <c r="H27">
        <f>VLOOKUP(D27,[1]机型!A:E,5,0)</f>
        <v>555</v>
      </c>
    </row>
    <row r="28" spans="1:8" x14ac:dyDescent="0.25">
      <c r="A28" t="s">
        <v>16</v>
      </c>
      <c r="B28" t="s">
        <v>5</v>
      </c>
      <c r="C28" t="s">
        <v>18</v>
      </c>
      <c r="D28" t="s">
        <v>9</v>
      </c>
      <c r="E28">
        <f>VLOOKUP(D28,[1]机型!A:E,2,0)</f>
        <v>893</v>
      </c>
      <c r="F28">
        <f>VLOOKUP(D28,[1]机型!A:E,3,0)</f>
        <v>2400</v>
      </c>
      <c r="G28">
        <f>VLOOKUP(D28,[1]机型!A:E,4,0)</f>
        <v>12</v>
      </c>
      <c r="H28">
        <f>VLOOKUP(D28,[1]机型!A:E,5,0)</f>
        <v>390</v>
      </c>
    </row>
    <row r="29" spans="1:8" x14ac:dyDescent="0.25">
      <c r="A29" t="s">
        <v>16</v>
      </c>
      <c r="B29" t="s">
        <v>5</v>
      </c>
      <c r="C29" t="s">
        <v>19</v>
      </c>
      <c r="D29" t="s">
        <v>7</v>
      </c>
      <c r="E29">
        <f>VLOOKUP(D29,[1]机型!A:E,2,0)</f>
        <v>963.04000000000008</v>
      </c>
      <c r="F29">
        <f>VLOOKUP(D29,[1]机型!A:E,3,0)</f>
        <v>3900</v>
      </c>
      <c r="G29">
        <f>VLOOKUP(D29,[1]机型!A:E,4,0)</f>
        <v>16</v>
      </c>
      <c r="H29">
        <f>VLOOKUP(D29,[1]机型!A:E,5,0)</f>
        <v>555</v>
      </c>
    </row>
    <row r="30" spans="1:8" x14ac:dyDescent="0.25">
      <c r="A30" t="s">
        <v>16</v>
      </c>
      <c r="B30" t="s">
        <v>5</v>
      </c>
      <c r="C30" t="s">
        <v>20</v>
      </c>
      <c r="D30" t="s">
        <v>7</v>
      </c>
      <c r="E30">
        <f>VLOOKUP(D30,[1]机型!A:E,2,0)</f>
        <v>963.04000000000008</v>
      </c>
      <c r="F30">
        <f>VLOOKUP(D30,[1]机型!A:E,3,0)</f>
        <v>3900</v>
      </c>
      <c r="G30">
        <f>VLOOKUP(D30,[1]机型!A:E,4,0)</f>
        <v>16</v>
      </c>
      <c r="H30">
        <f>VLOOKUP(D30,[1]机型!A:E,5,0)</f>
        <v>555</v>
      </c>
    </row>
    <row r="31" spans="1:8" x14ac:dyDescent="0.25">
      <c r="A31" t="s">
        <v>16</v>
      </c>
      <c r="B31" t="s">
        <v>5</v>
      </c>
      <c r="C31" t="s">
        <v>17</v>
      </c>
      <c r="D31" t="s">
        <v>7</v>
      </c>
      <c r="E31">
        <f>VLOOKUP(D31,[1]机型!A:E,2,0)</f>
        <v>963.04000000000008</v>
      </c>
      <c r="F31">
        <f>VLOOKUP(D31,[1]机型!A:E,3,0)</f>
        <v>3900</v>
      </c>
      <c r="G31">
        <f>VLOOKUP(D31,[1]机型!A:E,4,0)</f>
        <v>16</v>
      </c>
      <c r="H31">
        <f>VLOOKUP(D31,[1]机型!A:E,5,0)</f>
        <v>555</v>
      </c>
    </row>
    <row r="32" spans="1:8" x14ac:dyDescent="0.25">
      <c r="A32" t="s">
        <v>16</v>
      </c>
      <c r="B32" t="s">
        <v>5</v>
      </c>
      <c r="C32" t="s">
        <v>18</v>
      </c>
      <c r="D32" t="s">
        <v>9</v>
      </c>
      <c r="E32">
        <f>VLOOKUP(D32,[1]机型!A:E,2,0)</f>
        <v>893</v>
      </c>
      <c r="F32">
        <f>VLOOKUP(D32,[1]机型!A:E,3,0)</f>
        <v>2400</v>
      </c>
      <c r="G32">
        <f>VLOOKUP(D32,[1]机型!A:E,4,0)</f>
        <v>12</v>
      </c>
      <c r="H32">
        <f>VLOOKUP(D32,[1]机型!A:E,5,0)</f>
        <v>390</v>
      </c>
    </row>
    <row r="33" spans="1:8" x14ac:dyDescent="0.25">
      <c r="A33" t="s">
        <v>16</v>
      </c>
      <c r="B33" t="s">
        <v>5</v>
      </c>
      <c r="C33" t="s">
        <v>19</v>
      </c>
      <c r="D33" t="s">
        <v>7</v>
      </c>
      <c r="E33">
        <f>VLOOKUP(D33,[1]机型!A:E,2,0)</f>
        <v>963.04000000000008</v>
      </c>
      <c r="F33">
        <f>VLOOKUP(D33,[1]机型!A:E,3,0)</f>
        <v>3900</v>
      </c>
      <c r="G33">
        <f>VLOOKUP(D33,[1]机型!A:E,4,0)</f>
        <v>16</v>
      </c>
      <c r="H33">
        <f>VLOOKUP(D33,[1]机型!A:E,5,0)</f>
        <v>555</v>
      </c>
    </row>
    <row r="34" spans="1:8" s="3" customFormat="1" ht="14.4" thickBot="1" x14ac:dyDescent="0.3">
      <c r="A34" s="3" t="s">
        <v>16</v>
      </c>
      <c r="B34" s="3" t="s">
        <v>5</v>
      </c>
      <c r="C34" s="3" t="s">
        <v>20</v>
      </c>
      <c r="D34" s="3" t="s">
        <v>7</v>
      </c>
      <c r="E34" s="3">
        <f>VLOOKUP(D34,[1]机型!A:E,2,0)</f>
        <v>963.04000000000008</v>
      </c>
      <c r="F34" s="3">
        <f>VLOOKUP(D34,[1]机型!A:E,3,0)</f>
        <v>3900</v>
      </c>
      <c r="G34" s="3">
        <f>VLOOKUP(D34,[1]机型!A:E,4,0)</f>
        <v>16</v>
      </c>
      <c r="H34" s="3">
        <f>VLOOKUP(D34,[1]机型!A:E,5,0)</f>
        <v>555</v>
      </c>
    </row>
    <row r="35" spans="1:8" s="2" customFormat="1" x14ac:dyDescent="0.25">
      <c r="A35" s="2" t="s">
        <v>21</v>
      </c>
      <c r="B35" s="2" t="s">
        <v>5</v>
      </c>
      <c r="C35" s="2" t="s">
        <v>22</v>
      </c>
      <c r="D35" s="2" t="s">
        <v>7</v>
      </c>
      <c r="E35" s="2">
        <f>VLOOKUP(D35,[1]机型!A:E,2,0)</f>
        <v>963.04000000000008</v>
      </c>
      <c r="F35" s="2">
        <f>VLOOKUP(D35,[1]机型!A:E,3,0)</f>
        <v>3900</v>
      </c>
      <c r="G35" s="2">
        <f>VLOOKUP(D35,[1]机型!A:E,4,0)</f>
        <v>16</v>
      </c>
      <c r="H35" s="2">
        <f>VLOOKUP(D35,[1]机型!A:E,5,0)</f>
        <v>555</v>
      </c>
    </row>
    <row r="36" spans="1:8" x14ac:dyDescent="0.25">
      <c r="A36" t="s">
        <v>21</v>
      </c>
      <c r="B36" t="s">
        <v>5</v>
      </c>
      <c r="C36" t="s">
        <v>22</v>
      </c>
      <c r="D36" t="s">
        <v>7</v>
      </c>
      <c r="E36">
        <f>VLOOKUP(D36,[1]机型!A:E,2,0)</f>
        <v>963.04000000000008</v>
      </c>
      <c r="F36">
        <f>VLOOKUP(D36,[1]机型!A:E,3,0)</f>
        <v>3900</v>
      </c>
      <c r="G36">
        <f>VLOOKUP(D36,[1]机型!A:E,4,0)</f>
        <v>16</v>
      </c>
      <c r="H36">
        <f>VLOOKUP(D36,[1]机型!A:E,5,0)</f>
        <v>555</v>
      </c>
    </row>
    <row r="37" spans="1:8" s="3" customFormat="1" ht="14.4" thickBot="1" x14ac:dyDescent="0.3">
      <c r="A37" s="3" t="s">
        <v>21</v>
      </c>
      <c r="B37" s="3" t="s">
        <v>5</v>
      </c>
      <c r="C37" s="3" t="s">
        <v>22</v>
      </c>
      <c r="D37" s="3" t="s">
        <v>7</v>
      </c>
      <c r="E37" s="3">
        <f>VLOOKUP(D37,[1]机型!A:E,2,0)</f>
        <v>963.04000000000008</v>
      </c>
      <c r="F37" s="3">
        <f>VLOOKUP(D37,[1]机型!A:E,3,0)</f>
        <v>3900</v>
      </c>
      <c r="G37" s="3">
        <f>VLOOKUP(D37,[1]机型!A:E,4,0)</f>
        <v>16</v>
      </c>
      <c r="H37" s="3">
        <f>VLOOKUP(D37,[1]机型!A:E,5,0)</f>
        <v>555</v>
      </c>
    </row>
    <row r="38" spans="1:8" s="2" customFormat="1" x14ac:dyDescent="0.25">
      <c r="A38" s="2" t="s">
        <v>23</v>
      </c>
      <c r="B38" s="2" t="s">
        <v>24</v>
      </c>
      <c r="C38" s="2" t="s">
        <v>25</v>
      </c>
      <c r="D38" s="2" t="s">
        <v>26</v>
      </c>
      <c r="E38" s="2">
        <f>VLOOKUP(D38,[1]机型!A:E,2,0)</f>
        <v>901.92400000000009</v>
      </c>
      <c r="F38" s="2">
        <f>VLOOKUP(D38,[1]机型!A:E,3,0)</f>
        <v>1900</v>
      </c>
      <c r="G38" s="2">
        <f>VLOOKUP(D38,[1]机型!A:E,4,0)</f>
        <v>11</v>
      </c>
      <c r="H38" s="2">
        <f>VLOOKUP(D38,[1]机型!A:E,5,0)</f>
        <v>314</v>
      </c>
    </row>
    <row r="39" spans="1:8" x14ac:dyDescent="0.25">
      <c r="A39" t="s">
        <v>23</v>
      </c>
      <c r="B39" t="s">
        <v>24</v>
      </c>
      <c r="C39" t="s">
        <v>25</v>
      </c>
      <c r="D39" t="s">
        <v>26</v>
      </c>
      <c r="E39">
        <f>VLOOKUP(D39,[1]机型!A:E,2,0)</f>
        <v>901.92400000000009</v>
      </c>
      <c r="F39">
        <f>VLOOKUP(D39,[1]机型!A:E,3,0)</f>
        <v>1900</v>
      </c>
      <c r="G39">
        <f>VLOOKUP(D39,[1]机型!A:E,4,0)</f>
        <v>11</v>
      </c>
      <c r="H39">
        <f>VLOOKUP(D39,[1]机型!A:E,5,0)</f>
        <v>314</v>
      </c>
    </row>
    <row r="40" spans="1:8" x14ac:dyDescent="0.25">
      <c r="A40" t="s">
        <v>23</v>
      </c>
      <c r="B40" t="s">
        <v>24</v>
      </c>
      <c r="C40" t="s">
        <v>27</v>
      </c>
      <c r="D40" t="s">
        <v>26</v>
      </c>
      <c r="E40">
        <f>VLOOKUP(D40,[1]机型!A:E,2,0)</f>
        <v>901.92400000000009</v>
      </c>
      <c r="F40">
        <f>VLOOKUP(D40,[1]机型!A:E,3,0)</f>
        <v>1900</v>
      </c>
      <c r="G40">
        <f>VLOOKUP(D40,[1]机型!A:E,4,0)</f>
        <v>11</v>
      </c>
      <c r="H40">
        <f>VLOOKUP(D40,[1]机型!A:E,5,0)</f>
        <v>314</v>
      </c>
    </row>
    <row r="41" spans="1:8" x14ac:dyDescent="0.25">
      <c r="A41" t="s">
        <v>23</v>
      </c>
      <c r="B41" t="s">
        <v>24</v>
      </c>
      <c r="C41" t="s">
        <v>28</v>
      </c>
      <c r="D41" t="s">
        <v>29</v>
      </c>
      <c r="E41">
        <f>VLOOKUP(D41,[1]机型!A:E,2,0)</f>
        <v>905</v>
      </c>
      <c r="F41">
        <f>VLOOKUP(D41,[1]机型!A:E,3,0)</f>
        <v>2450</v>
      </c>
      <c r="G41">
        <f>VLOOKUP(D41,[1]机型!A:E,4,0)</f>
        <v>11</v>
      </c>
      <c r="H41">
        <f>VLOOKUP(D41,[1]机型!A:E,5,0)</f>
        <v>305</v>
      </c>
    </row>
    <row r="42" spans="1:8" x14ac:dyDescent="0.25">
      <c r="A42" t="s">
        <v>23</v>
      </c>
      <c r="B42" t="s">
        <v>24</v>
      </c>
      <c r="C42" t="s">
        <v>25</v>
      </c>
      <c r="D42" t="s">
        <v>26</v>
      </c>
      <c r="E42">
        <f>VLOOKUP(D42,[1]机型!A:E,2,0)</f>
        <v>901.92400000000009</v>
      </c>
      <c r="F42">
        <f>VLOOKUP(D42,[1]机型!A:E,3,0)</f>
        <v>1900</v>
      </c>
      <c r="G42">
        <f>VLOOKUP(D42,[1]机型!A:E,4,0)</f>
        <v>11</v>
      </c>
      <c r="H42">
        <f>VLOOKUP(D42,[1]机型!A:E,5,0)</f>
        <v>314</v>
      </c>
    </row>
    <row r="43" spans="1:8" x14ac:dyDescent="0.25">
      <c r="A43" t="s">
        <v>23</v>
      </c>
      <c r="B43" t="s">
        <v>24</v>
      </c>
      <c r="C43" t="s">
        <v>27</v>
      </c>
      <c r="D43" t="s">
        <v>26</v>
      </c>
      <c r="E43">
        <f>VLOOKUP(D43,[1]机型!A:E,2,0)</f>
        <v>901.92400000000009</v>
      </c>
      <c r="F43">
        <f>VLOOKUP(D43,[1]机型!A:E,3,0)</f>
        <v>1900</v>
      </c>
      <c r="G43">
        <f>VLOOKUP(D43,[1]机型!A:E,4,0)</f>
        <v>11</v>
      </c>
      <c r="H43">
        <f>VLOOKUP(D43,[1]机型!A:E,5,0)</f>
        <v>314</v>
      </c>
    </row>
    <row r="44" spans="1:8" x14ac:dyDescent="0.25">
      <c r="A44" t="s">
        <v>23</v>
      </c>
      <c r="B44" t="s">
        <v>24</v>
      </c>
      <c r="C44" t="s">
        <v>30</v>
      </c>
      <c r="D44" t="s">
        <v>29</v>
      </c>
      <c r="E44">
        <f>VLOOKUP(D44,[1]机型!A:E,2,0)</f>
        <v>905</v>
      </c>
      <c r="F44">
        <f>VLOOKUP(D44,[1]机型!A:E,3,0)</f>
        <v>2450</v>
      </c>
      <c r="G44">
        <f>VLOOKUP(D44,[1]机型!A:E,4,0)</f>
        <v>11</v>
      </c>
      <c r="H44">
        <f>VLOOKUP(D44,[1]机型!A:E,5,0)</f>
        <v>305</v>
      </c>
    </row>
    <row r="45" spans="1:8" x14ac:dyDescent="0.25">
      <c r="A45" t="s">
        <v>23</v>
      </c>
      <c r="B45" t="s">
        <v>24</v>
      </c>
      <c r="C45" t="s">
        <v>27</v>
      </c>
      <c r="D45" t="s">
        <v>26</v>
      </c>
      <c r="E45">
        <f>VLOOKUP(D45,[1]机型!A:E,2,0)</f>
        <v>901.92400000000009</v>
      </c>
      <c r="F45">
        <f>VLOOKUP(D45,[1]机型!A:E,3,0)</f>
        <v>1900</v>
      </c>
      <c r="G45">
        <f>VLOOKUP(D45,[1]机型!A:E,4,0)</f>
        <v>11</v>
      </c>
      <c r="H45">
        <f>VLOOKUP(D45,[1]机型!A:E,5,0)</f>
        <v>314</v>
      </c>
    </row>
    <row r="46" spans="1:8" x14ac:dyDescent="0.25">
      <c r="A46" t="s">
        <v>23</v>
      </c>
      <c r="B46" t="s">
        <v>24</v>
      </c>
      <c r="C46" t="s">
        <v>31</v>
      </c>
      <c r="D46" t="s">
        <v>29</v>
      </c>
      <c r="E46">
        <f>VLOOKUP(D46,[1]机型!A:E,2,0)</f>
        <v>905</v>
      </c>
      <c r="F46">
        <f>VLOOKUP(D46,[1]机型!A:E,3,0)</f>
        <v>2450</v>
      </c>
      <c r="G46">
        <f>VLOOKUP(D46,[1]机型!A:E,4,0)</f>
        <v>11</v>
      </c>
      <c r="H46">
        <f>VLOOKUP(D46,[1]机型!A:E,5,0)</f>
        <v>305</v>
      </c>
    </row>
    <row r="47" spans="1:8" s="3" customFormat="1" ht="14.4" thickBot="1" x14ac:dyDescent="0.3">
      <c r="A47" s="3" t="s">
        <v>23</v>
      </c>
      <c r="B47" s="3" t="s">
        <v>24</v>
      </c>
      <c r="C47" s="3" t="s">
        <v>32</v>
      </c>
      <c r="D47" s="3" t="s">
        <v>29</v>
      </c>
      <c r="E47" s="3">
        <f>VLOOKUP(D47,[1]机型!A:E,2,0)</f>
        <v>905</v>
      </c>
      <c r="F47" s="3">
        <f>VLOOKUP(D47,[1]机型!A:E,3,0)</f>
        <v>2450</v>
      </c>
      <c r="G47" s="3">
        <f>VLOOKUP(D47,[1]机型!A:E,4,0)</f>
        <v>11</v>
      </c>
      <c r="H47" s="3">
        <f>VLOOKUP(D47,[1]机型!A:E,5,0)</f>
        <v>305</v>
      </c>
    </row>
    <row r="48" spans="1:8" s="2" customFormat="1" x14ac:dyDescent="0.25">
      <c r="A48" s="2" t="s">
        <v>33</v>
      </c>
      <c r="B48" s="2" t="s">
        <v>34</v>
      </c>
      <c r="C48" s="2" t="s">
        <v>35</v>
      </c>
      <c r="D48" s="2" t="s">
        <v>9</v>
      </c>
      <c r="E48" s="2">
        <f>VLOOKUP(D48,[1]机型!A:E,2,0)</f>
        <v>893</v>
      </c>
      <c r="F48" s="2">
        <f>VLOOKUP(D48,[1]机型!A:E,3,0)</f>
        <v>2400</v>
      </c>
      <c r="G48" s="2">
        <f>VLOOKUP(D48,[1]机型!A:E,4,0)</f>
        <v>12</v>
      </c>
      <c r="H48" s="2">
        <f>VLOOKUP(D48,[1]机型!A:E,5,0)</f>
        <v>390</v>
      </c>
    </row>
    <row r="49" spans="1:8" x14ac:dyDescent="0.25">
      <c r="A49" t="s">
        <v>33</v>
      </c>
      <c r="B49" t="s">
        <v>34</v>
      </c>
      <c r="C49" t="s">
        <v>36</v>
      </c>
      <c r="D49" t="s">
        <v>7</v>
      </c>
      <c r="E49">
        <f>VLOOKUP(D49,[1]机型!A:E,2,0)</f>
        <v>963.04000000000008</v>
      </c>
      <c r="F49">
        <f>VLOOKUP(D49,[1]机型!A:E,3,0)</f>
        <v>3900</v>
      </c>
      <c r="G49">
        <f>VLOOKUP(D49,[1]机型!A:E,4,0)</f>
        <v>16</v>
      </c>
      <c r="H49">
        <f>VLOOKUP(D49,[1]机型!A:E,5,0)</f>
        <v>555</v>
      </c>
    </row>
    <row r="50" spans="1:8" x14ac:dyDescent="0.25">
      <c r="A50" t="s">
        <v>33</v>
      </c>
      <c r="B50" t="s">
        <v>34</v>
      </c>
      <c r="C50" t="s">
        <v>37</v>
      </c>
      <c r="D50" t="s">
        <v>9</v>
      </c>
      <c r="E50">
        <f>VLOOKUP(D50,[1]机型!A:E,2,0)</f>
        <v>893</v>
      </c>
      <c r="F50">
        <f>VLOOKUP(D50,[1]机型!A:E,3,0)</f>
        <v>2400</v>
      </c>
      <c r="G50">
        <f>VLOOKUP(D50,[1]机型!A:E,4,0)</f>
        <v>12</v>
      </c>
      <c r="H50">
        <f>VLOOKUP(D50,[1]机型!A:E,5,0)</f>
        <v>390</v>
      </c>
    </row>
    <row r="51" spans="1:8" x14ac:dyDescent="0.25">
      <c r="A51" t="s">
        <v>33</v>
      </c>
      <c r="B51" t="s">
        <v>38</v>
      </c>
      <c r="C51" t="s">
        <v>39</v>
      </c>
      <c r="D51" t="s">
        <v>9</v>
      </c>
      <c r="E51">
        <f>VLOOKUP(D51,[1]机型!A:E,2,0)</f>
        <v>893</v>
      </c>
      <c r="F51">
        <f>VLOOKUP(D51,[1]机型!A:E,3,0)</f>
        <v>2400</v>
      </c>
      <c r="G51">
        <f>VLOOKUP(D51,[1]机型!A:E,4,0)</f>
        <v>12</v>
      </c>
      <c r="H51">
        <f>VLOOKUP(D51,[1]机型!A:E,5,0)</f>
        <v>390</v>
      </c>
    </row>
    <row r="52" spans="1:8" x14ac:dyDescent="0.25">
      <c r="A52" t="s">
        <v>33</v>
      </c>
      <c r="B52" t="s">
        <v>34</v>
      </c>
      <c r="C52" t="s">
        <v>40</v>
      </c>
      <c r="D52" t="s">
        <v>7</v>
      </c>
      <c r="E52">
        <f>VLOOKUP(D52,[1]机型!A:E,2,0)</f>
        <v>963.04000000000008</v>
      </c>
      <c r="F52">
        <f>VLOOKUP(D52,[1]机型!A:E,3,0)</f>
        <v>3900</v>
      </c>
      <c r="G52">
        <f>VLOOKUP(D52,[1]机型!A:E,4,0)</f>
        <v>16</v>
      </c>
      <c r="H52">
        <f>VLOOKUP(D52,[1]机型!A:E,5,0)</f>
        <v>555</v>
      </c>
    </row>
    <row r="53" spans="1:8" x14ac:dyDescent="0.25">
      <c r="A53" t="s">
        <v>33</v>
      </c>
      <c r="B53" t="s">
        <v>38</v>
      </c>
      <c r="C53" t="s">
        <v>41</v>
      </c>
      <c r="D53" t="s">
        <v>42</v>
      </c>
      <c r="E53">
        <f>VLOOKUP(D53,[1]机型!A:E,2,0)</f>
        <v>907.48</v>
      </c>
      <c r="F53">
        <f>VLOOKUP(D53,[1]机型!A:E,3,0)</f>
        <v>1750</v>
      </c>
      <c r="G53">
        <f>VLOOKUP(D53,[1]机型!A:E,4,0)</f>
        <v>9</v>
      </c>
      <c r="H53">
        <f>VLOOKUP(D53,[1]机型!A:E,5,0)</f>
        <v>230</v>
      </c>
    </row>
    <row r="54" spans="1:8" x14ac:dyDescent="0.25">
      <c r="A54" t="s">
        <v>33</v>
      </c>
      <c r="B54" t="s">
        <v>34</v>
      </c>
      <c r="C54" t="s">
        <v>35</v>
      </c>
      <c r="D54" t="s">
        <v>9</v>
      </c>
      <c r="E54">
        <f>VLOOKUP(D54,[1]机型!A:E,2,0)</f>
        <v>893</v>
      </c>
      <c r="F54">
        <f>VLOOKUP(D54,[1]机型!A:E,3,0)</f>
        <v>2400</v>
      </c>
      <c r="G54">
        <f>VLOOKUP(D54,[1]机型!A:E,4,0)</f>
        <v>12</v>
      </c>
      <c r="H54">
        <f>VLOOKUP(D54,[1]机型!A:E,5,0)</f>
        <v>390</v>
      </c>
    </row>
    <row r="55" spans="1:8" x14ac:dyDescent="0.25">
      <c r="A55" t="s">
        <v>33</v>
      </c>
      <c r="B55" t="s">
        <v>34</v>
      </c>
      <c r="C55" t="s">
        <v>36</v>
      </c>
      <c r="D55" t="s">
        <v>7</v>
      </c>
      <c r="E55">
        <f>VLOOKUP(D55,[1]机型!A:E,2,0)</f>
        <v>963.04000000000008</v>
      </c>
      <c r="F55">
        <f>VLOOKUP(D55,[1]机型!A:E,3,0)</f>
        <v>3900</v>
      </c>
      <c r="G55">
        <f>VLOOKUP(D55,[1]机型!A:E,4,0)</f>
        <v>16</v>
      </c>
      <c r="H55">
        <f>VLOOKUP(D55,[1]机型!A:E,5,0)</f>
        <v>555</v>
      </c>
    </row>
    <row r="56" spans="1:8" x14ac:dyDescent="0.25">
      <c r="A56" t="s">
        <v>33</v>
      </c>
      <c r="B56" t="s">
        <v>34</v>
      </c>
      <c r="C56" t="s">
        <v>37</v>
      </c>
      <c r="D56" t="s">
        <v>9</v>
      </c>
      <c r="E56">
        <f>VLOOKUP(D56,[1]机型!A:E,2,0)</f>
        <v>893</v>
      </c>
      <c r="F56">
        <f>VLOOKUP(D56,[1]机型!A:E,3,0)</f>
        <v>2400</v>
      </c>
      <c r="G56">
        <f>VLOOKUP(D56,[1]机型!A:E,4,0)</f>
        <v>12</v>
      </c>
      <c r="H56">
        <f>VLOOKUP(D56,[1]机型!A:E,5,0)</f>
        <v>390</v>
      </c>
    </row>
    <row r="57" spans="1:8" x14ac:dyDescent="0.25">
      <c r="A57" t="s">
        <v>33</v>
      </c>
      <c r="B57" t="s">
        <v>38</v>
      </c>
      <c r="C57" t="s">
        <v>39</v>
      </c>
      <c r="D57" t="s">
        <v>9</v>
      </c>
      <c r="E57">
        <f>VLOOKUP(D57,[1]机型!A:E,2,0)</f>
        <v>893</v>
      </c>
      <c r="F57">
        <f>VLOOKUP(D57,[1]机型!A:E,3,0)</f>
        <v>2400</v>
      </c>
      <c r="G57">
        <f>VLOOKUP(D57,[1]机型!A:E,4,0)</f>
        <v>12</v>
      </c>
      <c r="H57">
        <f>VLOOKUP(D57,[1]机型!A:E,5,0)</f>
        <v>390</v>
      </c>
    </row>
    <row r="58" spans="1:8" x14ac:dyDescent="0.25">
      <c r="A58" t="s">
        <v>33</v>
      </c>
      <c r="B58" t="s">
        <v>34</v>
      </c>
      <c r="C58" t="s">
        <v>40</v>
      </c>
      <c r="D58" t="s">
        <v>7</v>
      </c>
      <c r="E58">
        <f>VLOOKUP(D58,[1]机型!A:E,2,0)</f>
        <v>963.04000000000008</v>
      </c>
      <c r="F58">
        <f>VLOOKUP(D58,[1]机型!A:E,3,0)</f>
        <v>3900</v>
      </c>
      <c r="G58">
        <f>VLOOKUP(D58,[1]机型!A:E,4,0)</f>
        <v>16</v>
      </c>
      <c r="H58">
        <f>VLOOKUP(D58,[1]机型!A:E,5,0)</f>
        <v>555</v>
      </c>
    </row>
    <row r="59" spans="1:8" x14ac:dyDescent="0.25">
      <c r="A59" t="s">
        <v>33</v>
      </c>
      <c r="B59" t="s">
        <v>38</v>
      </c>
      <c r="C59" t="s">
        <v>41</v>
      </c>
      <c r="D59" t="s">
        <v>42</v>
      </c>
      <c r="E59">
        <f>VLOOKUP(D59,[1]机型!A:E,2,0)</f>
        <v>907.48</v>
      </c>
      <c r="F59">
        <f>VLOOKUP(D59,[1]机型!A:E,3,0)</f>
        <v>1750</v>
      </c>
      <c r="G59">
        <f>VLOOKUP(D59,[1]机型!A:E,4,0)</f>
        <v>9</v>
      </c>
      <c r="H59">
        <f>VLOOKUP(D59,[1]机型!A:E,5,0)</f>
        <v>230</v>
      </c>
    </row>
    <row r="60" spans="1:8" x14ac:dyDescent="0.25">
      <c r="A60" t="s">
        <v>33</v>
      </c>
      <c r="B60" t="s">
        <v>34</v>
      </c>
      <c r="C60" t="s">
        <v>35</v>
      </c>
      <c r="D60" t="s">
        <v>9</v>
      </c>
      <c r="E60">
        <f>VLOOKUP(D60,[1]机型!A:E,2,0)</f>
        <v>893</v>
      </c>
      <c r="F60">
        <f>VLOOKUP(D60,[1]机型!A:E,3,0)</f>
        <v>2400</v>
      </c>
      <c r="G60">
        <f>VLOOKUP(D60,[1]机型!A:E,4,0)</f>
        <v>12</v>
      </c>
      <c r="H60">
        <f>VLOOKUP(D60,[1]机型!A:E,5,0)</f>
        <v>390</v>
      </c>
    </row>
    <row r="61" spans="1:8" x14ac:dyDescent="0.25">
      <c r="A61" t="s">
        <v>33</v>
      </c>
      <c r="B61" t="s">
        <v>34</v>
      </c>
      <c r="C61" t="s">
        <v>36</v>
      </c>
      <c r="D61" t="s">
        <v>7</v>
      </c>
      <c r="E61">
        <f>VLOOKUP(D61,[1]机型!A:E,2,0)</f>
        <v>963.04000000000008</v>
      </c>
      <c r="F61">
        <f>VLOOKUP(D61,[1]机型!A:E,3,0)</f>
        <v>3900</v>
      </c>
      <c r="G61">
        <f>VLOOKUP(D61,[1]机型!A:E,4,0)</f>
        <v>16</v>
      </c>
      <c r="H61">
        <f>VLOOKUP(D61,[1]机型!A:E,5,0)</f>
        <v>555</v>
      </c>
    </row>
    <row r="62" spans="1:8" x14ac:dyDescent="0.25">
      <c r="A62" t="s">
        <v>33</v>
      </c>
      <c r="B62" t="s">
        <v>34</v>
      </c>
      <c r="C62" t="s">
        <v>37</v>
      </c>
      <c r="D62" t="s">
        <v>9</v>
      </c>
      <c r="E62">
        <f>VLOOKUP(D62,[1]机型!A:E,2,0)</f>
        <v>893</v>
      </c>
      <c r="F62">
        <f>VLOOKUP(D62,[1]机型!A:E,3,0)</f>
        <v>2400</v>
      </c>
      <c r="G62">
        <f>VLOOKUP(D62,[1]机型!A:E,4,0)</f>
        <v>12</v>
      </c>
      <c r="H62">
        <f>VLOOKUP(D62,[1]机型!A:E,5,0)</f>
        <v>390</v>
      </c>
    </row>
    <row r="63" spans="1:8" x14ac:dyDescent="0.25">
      <c r="A63" t="s">
        <v>33</v>
      </c>
      <c r="B63" t="s">
        <v>38</v>
      </c>
      <c r="C63" t="s">
        <v>39</v>
      </c>
      <c r="D63" t="s">
        <v>9</v>
      </c>
      <c r="E63">
        <f>VLOOKUP(D63,[1]机型!A:E,2,0)</f>
        <v>893</v>
      </c>
      <c r="F63">
        <f>VLOOKUP(D63,[1]机型!A:E,3,0)</f>
        <v>2400</v>
      </c>
      <c r="G63">
        <f>VLOOKUP(D63,[1]机型!A:E,4,0)</f>
        <v>12</v>
      </c>
      <c r="H63">
        <f>VLOOKUP(D63,[1]机型!A:E,5,0)</f>
        <v>390</v>
      </c>
    </row>
    <row r="64" spans="1:8" x14ac:dyDescent="0.25">
      <c r="A64" t="s">
        <v>33</v>
      </c>
      <c r="B64" t="s">
        <v>34</v>
      </c>
      <c r="C64" t="s">
        <v>40</v>
      </c>
      <c r="D64" t="s">
        <v>7</v>
      </c>
      <c r="E64">
        <f>VLOOKUP(D64,[1]机型!A:E,2,0)</f>
        <v>963.04000000000008</v>
      </c>
      <c r="F64">
        <f>VLOOKUP(D64,[1]机型!A:E,3,0)</f>
        <v>3900</v>
      </c>
      <c r="G64">
        <f>VLOOKUP(D64,[1]机型!A:E,4,0)</f>
        <v>16</v>
      </c>
      <c r="H64">
        <f>VLOOKUP(D64,[1]机型!A:E,5,0)</f>
        <v>555</v>
      </c>
    </row>
    <row r="65" spans="1:8" s="3" customFormat="1" ht="14.4" thickBot="1" x14ac:dyDescent="0.3">
      <c r="A65" s="3" t="s">
        <v>33</v>
      </c>
      <c r="B65" s="3" t="s">
        <v>38</v>
      </c>
      <c r="C65" s="3" t="s">
        <v>41</v>
      </c>
      <c r="D65" s="3" t="s">
        <v>42</v>
      </c>
      <c r="E65" s="3">
        <f>VLOOKUP(D65,[1]机型!A:E,2,0)</f>
        <v>907.48</v>
      </c>
      <c r="F65" s="3">
        <f>VLOOKUP(D65,[1]机型!A:E,3,0)</f>
        <v>1750</v>
      </c>
      <c r="G65" s="3">
        <f>VLOOKUP(D65,[1]机型!A:E,4,0)</f>
        <v>9</v>
      </c>
      <c r="H65" s="3">
        <f>VLOOKUP(D65,[1]机型!A:E,5,0)</f>
        <v>230</v>
      </c>
    </row>
    <row r="66" spans="1:8" s="2" customFormat="1" x14ac:dyDescent="0.25">
      <c r="A66" s="2" t="s">
        <v>43</v>
      </c>
      <c r="B66" s="2" t="s">
        <v>5</v>
      </c>
      <c r="C66" s="2" t="s">
        <v>44</v>
      </c>
      <c r="D66" s="2" t="s">
        <v>9</v>
      </c>
      <c r="E66" s="2">
        <f>VLOOKUP(D66,[1]机型!A:E,2,0)</f>
        <v>893</v>
      </c>
      <c r="F66" s="2">
        <f>VLOOKUP(D66,[1]机型!A:E,3,0)</f>
        <v>2400</v>
      </c>
      <c r="G66" s="2">
        <f>VLOOKUP(D66,[1]机型!A:E,4,0)</f>
        <v>12</v>
      </c>
      <c r="H66" s="2">
        <f>VLOOKUP(D66,[1]机型!A:E,5,0)</f>
        <v>390</v>
      </c>
    </row>
    <row r="67" spans="1:8" x14ac:dyDescent="0.25">
      <c r="A67" t="s">
        <v>43</v>
      </c>
      <c r="B67" t="s">
        <v>5</v>
      </c>
      <c r="C67" t="s">
        <v>45</v>
      </c>
      <c r="D67" t="s">
        <v>7</v>
      </c>
      <c r="E67">
        <f>VLOOKUP(D67,[1]机型!A:E,2,0)</f>
        <v>963.04000000000008</v>
      </c>
      <c r="F67">
        <f>VLOOKUP(D67,[1]机型!A:E,3,0)</f>
        <v>3900</v>
      </c>
      <c r="G67">
        <f>VLOOKUP(D67,[1]机型!A:E,4,0)</f>
        <v>16</v>
      </c>
      <c r="H67">
        <f>VLOOKUP(D67,[1]机型!A:E,5,0)</f>
        <v>555</v>
      </c>
    </row>
    <row r="68" spans="1:8" x14ac:dyDescent="0.25">
      <c r="A68" t="s">
        <v>43</v>
      </c>
      <c r="B68" t="s">
        <v>5</v>
      </c>
      <c r="C68" t="s">
        <v>46</v>
      </c>
      <c r="D68" t="s">
        <v>9</v>
      </c>
      <c r="E68">
        <f>VLOOKUP(D68,[1]机型!A:E,2,0)</f>
        <v>893</v>
      </c>
      <c r="F68">
        <f>VLOOKUP(D68,[1]机型!A:E,3,0)</f>
        <v>2400</v>
      </c>
      <c r="G68">
        <f>VLOOKUP(D68,[1]机型!A:E,4,0)</f>
        <v>12</v>
      </c>
      <c r="H68">
        <f>VLOOKUP(D68,[1]机型!A:E,5,0)</f>
        <v>390</v>
      </c>
    </row>
    <row r="69" spans="1:8" x14ac:dyDescent="0.25">
      <c r="A69" t="s">
        <v>43</v>
      </c>
      <c r="B69" t="s">
        <v>5</v>
      </c>
      <c r="C69" t="s">
        <v>47</v>
      </c>
      <c r="D69" t="s">
        <v>26</v>
      </c>
      <c r="E69">
        <f>VLOOKUP(D69,[1]机型!A:E,2,0)</f>
        <v>901.92400000000009</v>
      </c>
      <c r="F69">
        <f>VLOOKUP(D69,[1]机型!A:E,3,0)</f>
        <v>1900</v>
      </c>
      <c r="G69">
        <f>VLOOKUP(D69,[1]机型!A:E,4,0)</f>
        <v>11</v>
      </c>
      <c r="H69">
        <f>VLOOKUP(D69,[1]机型!A:E,5,0)</f>
        <v>314</v>
      </c>
    </row>
    <row r="70" spans="1:8" x14ac:dyDescent="0.25">
      <c r="A70" t="s">
        <v>43</v>
      </c>
      <c r="B70" t="s">
        <v>5</v>
      </c>
      <c r="C70" t="s">
        <v>48</v>
      </c>
      <c r="D70" t="s">
        <v>9</v>
      </c>
      <c r="E70">
        <f>VLOOKUP(D70,[1]机型!A:E,2,0)</f>
        <v>893</v>
      </c>
      <c r="F70">
        <f>VLOOKUP(D70,[1]机型!A:E,3,0)</f>
        <v>2400</v>
      </c>
      <c r="G70">
        <f>VLOOKUP(D70,[1]机型!A:E,4,0)</f>
        <v>12</v>
      </c>
      <c r="H70">
        <f>VLOOKUP(D70,[1]机型!A:E,5,0)</f>
        <v>390</v>
      </c>
    </row>
    <row r="71" spans="1:8" x14ac:dyDescent="0.25">
      <c r="A71" t="s">
        <v>43</v>
      </c>
      <c r="B71" t="s">
        <v>49</v>
      </c>
      <c r="C71" t="s">
        <v>50</v>
      </c>
      <c r="D71" t="s">
        <v>51</v>
      </c>
      <c r="E71">
        <f>VLOOKUP(D71,[1]机型!A:E,2,0)</f>
        <v>913</v>
      </c>
      <c r="F71">
        <f>VLOOKUP(D71,[1]机型!A:E,3,0)</f>
        <v>1750</v>
      </c>
      <c r="G71">
        <f>VLOOKUP(D71,[1]机型!A:E,4,0)</f>
        <v>9</v>
      </c>
      <c r="H71">
        <f>VLOOKUP(D71,[1]机型!A:E,5,0)</f>
        <v>230</v>
      </c>
    </row>
    <row r="72" spans="1:8" x14ac:dyDescent="0.25">
      <c r="A72" t="s">
        <v>43</v>
      </c>
      <c r="B72" t="s">
        <v>5</v>
      </c>
      <c r="C72" t="s">
        <v>44</v>
      </c>
      <c r="D72" t="s">
        <v>9</v>
      </c>
      <c r="E72">
        <f>VLOOKUP(D72,[1]机型!A:E,2,0)</f>
        <v>893</v>
      </c>
      <c r="F72">
        <f>VLOOKUP(D72,[1]机型!A:E,3,0)</f>
        <v>2400</v>
      </c>
      <c r="G72">
        <f>VLOOKUP(D72,[1]机型!A:E,4,0)</f>
        <v>12</v>
      </c>
      <c r="H72">
        <f>VLOOKUP(D72,[1]机型!A:E,5,0)</f>
        <v>390</v>
      </c>
    </row>
    <row r="73" spans="1:8" x14ac:dyDescent="0.25">
      <c r="A73" t="s">
        <v>43</v>
      </c>
      <c r="B73" t="s">
        <v>5</v>
      </c>
      <c r="C73" t="s">
        <v>45</v>
      </c>
      <c r="D73" t="s">
        <v>7</v>
      </c>
      <c r="E73">
        <f>VLOOKUP(D73,[1]机型!A:E,2,0)</f>
        <v>963.04000000000008</v>
      </c>
      <c r="F73">
        <f>VLOOKUP(D73,[1]机型!A:E,3,0)</f>
        <v>3900</v>
      </c>
      <c r="G73">
        <f>VLOOKUP(D73,[1]机型!A:E,4,0)</f>
        <v>16</v>
      </c>
      <c r="H73">
        <f>VLOOKUP(D73,[1]机型!A:E,5,0)</f>
        <v>555</v>
      </c>
    </row>
    <row r="74" spans="1:8" x14ac:dyDescent="0.25">
      <c r="A74" t="s">
        <v>43</v>
      </c>
      <c r="B74" t="s">
        <v>5</v>
      </c>
      <c r="C74" t="s">
        <v>46</v>
      </c>
      <c r="D74" t="s">
        <v>9</v>
      </c>
      <c r="E74">
        <f>VLOOKUP(D74,[1]机型!A:E,2,0)</f>
        <v>893</v>
      </c>
      <c r="F74">
        <f>VLOOKUP(D74,[1]机型!A:E,3,0)</f>
        <v>2400</v>
      </c>
      <c r="G74">
        <f>VLOOKUP(D74,[1]机型!A:E,4,0)</f>
        <v>12</v>
      </c>
      <c r="H74">
        <f>VLOOKUP(D74,[1]机型!A:E,5,0)</f>
        <v>390</v>
      </c>
    </row>
    <row r="75" spans="1:8" x14ac:dyDescent="0.25">
      <c r="A75" t="s">
        <v>43</v>
      </c>
      <c r="B75" t="s">
        <v>5</v>
      </c>
      <c r="C75" t="s">
        <v>47</v>
      </c>
      <c r="D75" t="s">
        <v>26</v>
      </c>
      <c r="E75">
        <f>VLOOKUP(D75,[1]机型!A:E,2,0)</f>
        <v>901.92400000000009</v>
      </c>
      <c r="F75">
        <f>VLOOKUP(D75,[1]机型!A:E,3,0)</f>
        <v>1900</v>
      </c>
      <c r="G75">
        <f>VLOOKUP(D75,[1]机型!A:E,4,0)</f>
        <v>11</v>
      </c>
      <c r="H75">
        <f>VLOOKUP(D75,[1]机型!A:E,5,0)</f>
        <v>314</v>
      </c>
    </row>
    <row r="76" spans="1:8" x14ac:dyDescent="0.25">
      <c r="A76" t="s">
        <v>43</v>
      </c>
      <c r="B76" t="s">
        <v>5</v>
      </c>
      <c r="C76" t="s">
        <v>48</v>
      </c>
      <c r="D76" t="s">
        <v>9</v>
      </c>
      <c r="E76">
        <f>VLOOKUP(D76,[1]机型!A:E,2,0)</f>
        <v>893</v>
      </c>
      <c r="F76">
        <f>VLOOKUP(D76,[1]机型!A:E,3,0)</f>
        <v>2400</v>
      </c>
      <c r="G76">
        <f>VLOOKUP(D76,[1]机型!A:E,4,0)</f>
        <v>12</v>
      </c>
      <c r="H76">
        <f>VLOOKUP(D76,[1]机型!A:E,5,0)</f>
        <v>390</v>
      </c>
    </row>
    <row r="77" spans="1:8" x14ac:dyDescent="0.25">
      <c r="A77" t="s">
        <v>43</v>
      </c>
      <c r="B77" t="s">
        <v>49</v>
      </c>
      <c r="C77" t="s">
        <v>50</v>
      </c>
      <c r="D77" t="s">
        <v>51</v>
      </c>
      <c r="E77">
        <f>VLOOKUP(D77,[1]机型!A:E,2,0)</f>
        <v>913</v>
      </c>
      <c r="F77">
        <f>VLOOKUP(D77,[1]机型!A:E,3,0)</f>
        <v>1750</v>
      </c>
      <c r="G77">
        <f>VLOOKUP(D77,[1]机型!A:E,4,0)</f>
        <v>9</v>
      </c>
      <c r="H77">
        <f>VLOOKUP(D77,[1]机型!A:E,5,0)</f>
        <v>230</v>
      </c>
    </row>
    <row r="78" spans="1:8" x14ac:dyDescent="0.25">
      <c r="A78" t="s">
        <v>43</v>
      </c>
      <c r="B78" t="s">
        <v>5</v>
      </c>
      <c r="C78" t="s">
        <v>44</v>
      </c>
      <c r="D78" t="s">
        <v>9</v>
      </c>
      <c r="E78">
        <f>VLOOKUP(D78,[1]机型!A:E,2,0)</f>
        <v>893</v>
      </c>
      <c r="F78">
        <f>VLOOKUP(D78,[1]机型!A:E,3,0)</f>
        <v>2400</v>
      </c>
      <c r="G78">
        <f>VLOOKUP(D78,[1]机型!A:E,4,0)</f>
        <v>12</v>
      </c>
      <c r="H78">
        <f>VLOOKUP(D78,[1]机型!A:E,5,0)</f>
        <v>390</v>
      </c>
    </row>
    <row r="79" spans="1:8" x14ac:dyDescent="0.25">
      <c r="A79" t="s">
        <v>43</v>
      </c>
      <c r="B79" t="s">
        <v>5</v>
      </c>
      <c r="C79" t="s">
        <v>45</v>
      </c>
      <c r="D79" t="s">
        <v>7</v>
      </c>
      <c r="E79">
        <f>VLOOKUP(D79,[1]机型!A:E,2,0)</f>
        <v>963.04000000000008</v>
      </c>
      <c r="F79">
        <f>VLOOKUP(D79,[1]机型!A:E,3,0)</f>
        <v>3900</v>
      </c>
      <c r="G79">
        <f>VLOOKUP(D79,[1]机型!A:E,4,0)</f>
        <v>16</v>
      </c>
      <c r="H79">
        <f>VLOOKUP(D79,[1]机型!A:E,5,0)</f>
        <v>555</v>
      </c>
    </row>
    <row r="80" spans="1:8" x14ac:dyDescent="0.25">
      <c r="A80" t="s">
        <v>43</v>
      </c>
      <c r="B80" t="s">
        <v>5</v>
      </c>
      <c r="C80" t="s">
        <v>46</v>
      </c>
      <c r="D80" t="s">
        <v>9</v>
      </c>
      <c r="E80">
        <f>VLOOKUP(D80,[1]机型!A:E,2,0)</f>
        <v>893</v>
      </c>
      <c r="F80">
        <f>VLOOKUP(D80,[1]机型!A:E,3,0)</f>
        <v>2400</v>
      </c>
      <c r="G80">
        <f>VLOOKUP(D80,[1]机型!A:E,4,0)</f>
        <v>12</v>
      </c>
      <c r="H80">
        <f>VLOOKUP(D80,[1]机型!A:E,5,0)</f>
        <v>390</v>
      </c>
    </row>
    <row r="81" spans="1:8" x14ac:dyDescent="0.25">
      <c r="A81" t="s">
        <v>43</v>
      </c>
      <c r="B81" t="s">
        <v>5</v>
      </c>
      <c r="C81" t="s">
        <v>47</v>
      </c>
      <c r="D81" t="s">
        <v>26</v>
      </c>
      <c r="E81">
        <f>VLOOKUP(D81,[1]机型!A:E,2,0)</f>
        <v>901.92400000000009</v>
      </c>
      <c r="F81">
        <f>VLOOKUP(D81,[1]机型!A:E,3,0)</f>
        <v>1900</v>
      </c>
      <c r="G81">
        <f>VLOOKUP(D81,[1]机型!A:E,4,0)</f>
        <v>11</v>
      </c>
      <c r="H81">
        <f>VLOOKUP(D81,[1]机型!A:E,5,0)</f>
        <v>314</v>
      </c>
    </row>
    <row r="82" spans="1:8" x14ac:dyDescent="0.25">
      <c r="A82" t="s">
        <v>43</v>
      </c>
      <c r="B82" t="s">
        <v>5</v>
      </c>
      <c r="C82" t="s">
        <v>48</v>
      </c>
      <c r="D82" t="s">
        <v>9</v>
      </c>
      <c r="E82">
        <f>VLOOKUP(D82,[1]机型!A:E,2,0)</f>
        <v>893</v>
      </c>
      <c r="F82">
        <f>VLOOKUP(D82,[1]机型!A:E,3,0)</f>
        <v>2400</v>
      </c>
      <c r="G82">
        <f>VLOOKUP(D82,[1]机型!A:E,4,0)</f>
        <v>12</v>
      </c>
      <c r="H82">
        <f>VLOOKUP(D82,[1]机型!A:E,5,0)</f>
        <v>390</v>
      </c>
    </row>
    <row r="83" spans="1:8" s="3" customFormat="1" ht="14.4" thickBot="1" x14ac:dyDescent="0.3">
      <c r="A83" s="3" t="s">
        <v>43</v>
      </c>
      <c r="B83" s="3" t="s">
        <v>49</v>
      </c>
      <c r="C83" s="3" t="s">
        <v>50</v>
      </c>
      <c r="D83" s="3" t="s">
        <v>51</v>
      </c>
      <c r="E83" s="3">
        <f>VLOOKUP(D83,[1]机型!A:E,2,0)</f>
        <v>913</v>
      </c>
      <c r="F83" s="3">
        <f>VLOOKUP(D83,[1]机型!A:E,3,0)</f>
        <v>1750</v>
      </c>
      <c r="G83" s="3">
        <f>VLOOKUP(D83,[1]机型!A:E,4,0)</f>
        <v>9</v>
      </c>
      <c r="H83" s="3">
        <f>VLOOKUP(D83,[1]机型!A:E,5,0)</f>
        <v>230</v>
      </c>
    </row>
    <row r="84" spans="1:8" x14ac:dyDescent="0.25">
      <c r="A84" t="s">
        <v>52</v>
      </c>
      <c r="B84" t="s">
        <v>5</v>
      </c>
      <c r="C84" t="s">
        <v>53</v>
      </c>
      <c r="D84" t="s">
        <v>7</v>
      </c>
      <c r="E84">
        <f>VLOOKUP(D84,[1]机型!A:E,2,0)</f>
        <v>963.04000000000008</v>
      </c>
      <c r="F84">
        <f>VLOOKUP(D84,[1]机型!A:E,3,0)</f>
        <v>3900</v>
      </c>
      <c r="G84">
        <f>VLOOKUP(D84,[1]机型!A:E,4,0)</f>
        <v>16</v>
      </c>
      <c r="H84">
        <f>VLOOKUP(D84,[1]机型!A:E,5,0)</f>
        <v>555</v>
      </c>
    </row>
    <row r="85" spans="1:8" x14ac:dyDescent="0.25">
      <c r="A85" t="s">
        <v>52</v>
      </c>
      <c r="B85" t="s">
        <v>5</v>
      </c>
      <c r="C85" t="s">
        <v>53</v>
      </c>
      <c r="D85" t="s">
        <v>7</v>
      </c>
      <c r="E85">
        <f>VLOOKUP(D85,[1]机型!A:E,2,0)</f>
        <v>963.04000000000008</v>
      </c>
      <c r="F85">
        <f>VLOOKUP(D85,[1]机型!A:E,3,0)</f>
        <v>3900</v>
      </c>
      <c r="G85">
        <f>VLOOKUP(D85,[1]机型!A:E,4,0)</f>
        <v>16</v>
      </c>
      <c r="H85">
        <f>VLOOKUP(D85,[1]机型!A:E,5,0)</f>
        <v>555</v>
      </c>
    </row>
    <row r="86" spans="1:8" x14ac:dyDescent="0.25">
      <c r="A86" t="s">
        <v>52</v>
      </c>
      <c r="B86" t="s">
        <v>5</v>
      </c>
      <c r="C86" t="s">
        <v>53</v>
      </c>
      <c r="D86" t="s">
        <v>7</v>
      </c>
      <c r="E86">
        <f>VLOOKUP(D86,[1]机型!A:E,2,0)</f>
        <v>963.04000000000008</v>
      </c>
      <c r="F86">
        <f>VLOOKUP(D86,[1]机型!A:E,3,0)</f>
        <v>3900</v>
      </c>
      <c r="G86">
        <f>VLOOKUP(D86,[1]机型!A:E,4,0)</f>
        <v>16</v>
      </c>
      <c r="H86">
        <f>VLOOKUP(D86,[1]机型!A:E,5,0)</f>
        <v>555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flightaware_with_ident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#LIU, JIANI#</cp:lastModifiedBy>
  <dcterms:created xsi:type="dcterms:W3CDTF">2026-04-27T10:44:03Z</dcterms:created>
  <dcterms:modified xsi:type="dcterms:W3CDTF">2026-04-27T11:19:46Z</dcterms:modified>
</cp:coreProperties>
</file>
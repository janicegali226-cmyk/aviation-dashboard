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NTU BA\T3\project\"/>
    </mc:Choice>
  </mc:AlternateContent>
  <xr:revisionPtr revIDLastSave="0" documentId="13_ncr:1_{12A2C2F6-4CD5-45BC-8A5D-7C7CABCB78FC}" xr6:coauthVersionLast="47" xr6:coauthVersionMax="47" xr10:uidLastSave="{00000000-0000-0000-0000-000000000000}"/>
  <bookViews>
    <workbookView xWindow="-108" yWindow="-108" windowWidth="23256" windowHeight="12576" firstSheet="1" activeTab="2" xr2:uid="{9113E78A-4C4B-4393-8AB5-7CDAECCEAF80}"/>
  </bookViews>
  <sheets>
    <sheet name="Sheet3" sheetId="4" r:id="rId1"/>
    <sheet name="flightaware_final_data" sheetId="1" r:id="rId2"/>
    <sheet name="直飞航班" sheetId="9" r:id="rId3"/>
    <sheet name="Sheet7" sheetId="10" r:id="rId4"/>
    <sheet name="Sheet1" sheetId="11" r:id="rId5"/>
    <sheet name="航司" sheetId="5" r:id="rId6"/>
    <sheet name="航线" sheetId="6" r:id="rId7"/>
    <sheet name="机型" sheetId="3" r:id="rId8"/>
  </sheets>
  <definedNames>
    <definedName name="_xlnm._FilterDatabase" localSheetId="1" hidden="1">flightaware_final_data!$A$1:$A$149</definedName>
    <definedName name="_xlnm._FilterDatabase" localSheetId="7" hidden="1">机型!$A$1:$A$149</definedName>
    <definedName name="_xlnm._FilterDatabase" localSheetId="2" hidden="1">直飞航班!$C$1:$C$82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" i="9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2" i="1"/>
  <c r="E7" i="1"/>
  <c r="E8" i="1"/>
  <c r="E10" i="1"/>
  <c r="E11" i="1"/>
  <c r="E12" i="1"/>
  <c r="E13" i="1"/>
  <c r="E17" i="1"/>
  <c r="E19" i="1"/>
  <c r="E23" i="1"/>
  <c r="E24" i="1"/>
  <c r="E26" i="1"/>
  <c r="E27" i="1"/>
  <c r="E28" i="1"/>
  <c r="E30" i="1"/>
  <c r="E32" i="1"/>
  <c r="E44" i="1"/>
  <c r="E49" i="1"/>
  <c r="E52" i="1"/>
  <c r="E53" i="1"/>
  <c r="E57" i="1"/>
  <c r="E60" i="1"/>
  <c r="E64" i="1"/>
  <c r="E65" i="1"/>
  <c r="E67" i="1"/>
  <c r="E68" i="1"/>
  <c r="E69" i="1"/>
  <c r="E70" i="1"/>
  <c r="E71" i="1"/>
  <c r="E72" i="1"/>
  <c r="E73" i="1"/>
  <c r="E76" i="1"/>
  <c r="E80" i="1"/>
  <c r="E81" i="1"/>
  <c r="E82" i="1"/>
  <c r="E83" i="1"/>
  <c r="E84" i="1"/>
  <c r="E87" i="1"/>
  <c r="E88" i="1"/>
  <c r="E89" i="1"/>
  <c r="E90" i="1"/>
  <c r="E91" i="1"/>
  <c r="E92" i="1"/>
  <c r="E93" i="1"/>
  <c r="E95" i="1"/>
  <c r="E96" i="1"/>
  <c r="E99" i="1"/>
  <c r="E100" i="1"/>
  <c r="E101" i="1"/>
  <c r="E102" i="1"/>
  <c r="E105" i="1"/>
  <c r="E107" i="1"/>
  <c r="E108" i="1"/>
  <c r="E111" i="1"/>
  <c r="E113" i="1"/>
  <c r="E114" i="1"/>
  <c r="E115" i="1"/>
  <c r="E116" i="1"/>
  <c r="E117" i="1"/>
  <c r="E119" i="1"/>
  <c r="E120" i="1"/>
  <c r="E121" i="1"/>
  <c r="E122" i="1"/>
  <c r="E123" i="1"/>
  <c r="E124" i="1"/>
  <c r="E125" i="1"/>
  <c r="E127" i="1"/>
  <c r="E128" i="1"/>
  <c r="E132" i="1"/>
  <c r="E136" i="1"/>
  <c r="E139" i="1"/>
  <c r="E140" i="1"/>
  <c r="E141" i="1"/>
  <c r="E146" i="1"/>
  <c r="E147" i="1"/>
  <c r="E148" i="1"/>
  <c r="E3" i="1"/>
  <c r="E5" i="1"/>
  <c r="B8" i="3"/>
  <c r="E18" i="1" s="1"/>
  <c r="B15" i="3"/>
  <c r="E98" i="1" s="1"/>
  <c r="B6" i="3"/>
  <c r="E145" i="1" s="1"/>
  <c r="B7" i="3"/>
  <c r="E21" i="1" s="1"/>
  <c r="B9" i="3"/>
  <c r="E31" i="1" s="1"/>
  <c r="D13" i="3"/>
  <c r="G8" i="1" s="1"/>
  <c r="D7" i="3"/>
  <c r="G143" i="1" s="1"/>
  <c r="D3" i="3"/>
  <c r="G12" i="1" s="1"/>
  <c r="D9" i="3"/>
  <c r="G31" i="1" s="1"/>
  <c r="D2" i="3"/>
  <c r="G87" i="1" s="1"/>
  <c r="D11" i="3"/>
  <c r="G64" i="1" s="1"/>
  <c r="D5" i="3"/>
  <c r="G72" i="1" s="1"/>
  <c r="D10" i="3"/>
  <c r="G80" i="1" s="1"/>
  <c r="D4" i="3"/>
  <c r="G90" i="1" s="1"/>
  <c r="D15" i="3"/>
  <c r="G104" i="1" s="1"/>
  <c r="D14" i="3"/>
  <c r="G128" i="1" s="1"/>
  <c r="D6" i="3"/>
  <c r="G145" i="1" s="1"/>
  <c r="D8" i="3"/>
  <c r="G15" i="1" s="1"/>
  <c r="D12" i="3"/>
  <c r="G7" i="1" s="1"/>
  <c r="E2" i="1" l="1"/>
  <c r="E137" i="1"/>
  <c r="E129" i="1"/>
  <c r="E97" i="1"/>
  <c r="E41" i="1"/>
  <c r="E33" i="1"/>
  <c r="E25" i="1"/>
  <c r="E9" i="1"/>
  <c r="G2" i="1"/>
  <c r="G142" i="1"/>
  <c r="G134" i="1"/>
  <c r="G126" i="1"/>
  <c r="G118" i="1"/>
  <c r="G110" i="1"/>
  <c r="G102" i="1"/>
  <c r="G94" i="1"/>
  <c r="G86" i="1"/>
  <c r="G78" i="1"/>
  <c r="G70" i="1"/>
  <c r="G62" i="1"/>
  <c r="G54" i="1"/>
  <c r="G46" i="1"/>
  <c r="G38" i="1"/>
  <c r="G30" i="1"/>
  <c r="G22" i="1"/>
  <c r="G14" i="1"/>
  <c r="G6" i="1"/>
  <c r="E144" i="1"/>
  <c r="E112" i="1"/>
  <c r="E104" i="1"/>
  <c r="E56" i="1"/>
  <c r="E48" i="1"/>
  <c r="E40" i="1"/>
  <c r="E16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G45" i="1"/>
  <c r="G37" i="1"/>
  <c r="G29" i="1"/>
  <c r="G21" i="1"/>
  <c r="G13" i="1"/>
  <c r="G5" i="1"/>
  <c r="E4" i="1"/>
  <c r="E143" i="1"/>
  <c r="E135" i="1"/>
  <c r="E103" i="1"/>
  <c r="E79" i="1"/>
  <c r="E63" i="1"/>
  <c r="E55" i="1"/>
  <c r="E47" i="1"/>
  <c r="E39" i="1"/>
  <c r="E15" i="1"/>
  <c r="G148" i="1"/>
  <c r="G140" i="1"/>
  <c r="G132" i="1"/>
  <c r="G124" i="1"/>
  <c r="G116" i="1"/>
  <c r="G108" i="1"/>
  <c r="G100" i="1"/>
  <c r="G92" i="1"/>
  <c r="G84" i="1"/>
  <c r="G76" i="1"/>
  <c r="G68" i="1"/>
  <c r="G60" i="1"/>
  <c r="G52" i="1"/>
  <c r="G44" i="1"/>
  <c r="G36" i="1"/>
  <c r="G28" i="1"/>
  <c r="G20" i="1"/>
  <c r="G4" i="1"/>
  <c r="E142" i="1"/>
  <c r="E134" i="1"/>
  <c r="E126" i="1"/>
  <c r="E118" i="1"/>
  <c r="E110" i="1"/>
  <c r="E94" i="1"/>
  <c r="E86" i="1"/>
  <c r="E78" i="1"/>
  <c r="E62" i="1"/>
  <c r="E54" i="1"/>
  <c r="E46" i="1"/>
  <c r="E38" i="1"/>
  <c r="E22" i="1"/>
  <c r="E14" i="1"/>
  <c r="E6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E149" i="1"/>
  <c r="E133" i="1"/>
  <c r="E109" i="1"/>
  <c r="E85" i="1"/>
  <c r="E77" i="1"/>
  <c r="E61" i="1"/>
  <c r="E45" i="1"/>
  <c r="E37" i="1"/>
  <c r="E29" i="1"/>
  <c r="G146" i="1"/>
  <c r="G138" i="1"/>
  <c r="G130" i="1"/>
  <c r="G122" i="1"/>
  <c r="G114" i="1"/>
  <c r="G106" i="1"/>
  <c r="G98" i="1"/>
  <c r="G82" i="1"/>
  <c r="G74" i="1"/>
  <c r="G66" i="1"/>
  <c r="G58" i="1"/>
  <c r="G50" i="1"/>
  <c r="G42" i="1"/>
  <c r="G34" i="1"/>
  <c r="G26" i="1"/>
  <c r="G18" i="1"/>
  <c r="G10" i="1"/>
  <c r="E36" i="1"/>
  <c r="E20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E131" i="1"/>
  <c r="E75" i="1"/>
  <c r="E59" i="1"/>
  <c r="E51" i="1"/>
  <c r="E43" i="1"/>
  <c r="E35" i="1"/>
  <c r="G144" i="1"/>
  <c r="G136" i="1"/>
  <c r="G120" i="1"/>
  <c r="G112" i="1"/>
  <c r="G96" i="1"/>
  <c r="G88" i="1"/>
  <c r="G56" i="1"/>
  <c r="G48" i="1"/>
  <c r="G40" i="1"/>
  <c r="G32" i="1"/>
  <c r="G24" i="1"/>
  <c r="G16" i="1"/>
  <c r="E138" i="1"/>
  <c r="E130" i="1"/>
  <c r="E106" i="1"/>
  <c r="E74" i="1"/>
  <c r="E66" i="1"/>
  <c r="E58" i="1"/>
  <c r="E50" i="1"/>
  <c r="E42" i="1"/>
  <c r="E34" i="1"/>
  <c r="G135" i="1"/>
  <c r="G127" i="1"/>
  <c r="G119" i="1"/>
  <c r="G111" i="1"/>
  <c r="G103" i="1"/>
  <c r="G95" i="1"/>
  <c r="G79" i="1"/>
  <c r="G71" i="1"/>
  <c r="G63" i="1"/>
  <c r="G55" i="1"/>
  <c r="G47" i="1"/>
  <c r="G39" i="1"/>
  <c r="G23" i="1"/>
</calcChain>
</file>

<file path=xl/sharedStrings.xml><?xml version="1.0" encoding="utf-8"?>
<sst xmlns="http://schemas.openxmlformats.org/spreadsheetml/2006/main" count="910" uniqueCount="102">
  <si>
    <t>route</t>
  </si>
  <si>
    <t>airline</t>
  </si>
  <si>
    <t>aircraft_model</t>
  </si>
  <si>
    <t>SIN-DXB</t>
  </si>
  <si>
    <t>Emirates</t>
  </si>
  <si>
    <t>Airbus A380-800 (quad-jet)</t>
  </si>
  <si>
    <t>BOEING 777-300ER (twin-jet)</t>
  </si>
  <si>
    <t>Singapore Airlines</t>
  </si>
  <si>
    <t>BOEING 787-10 Dreamliner (twin-jet)</t>
  </si>
  <si>
    <t>Airbus A350-900 (twin-jet)</t>
  </si>
  <si>
    <t>Air India</t>
  </si>
  <si>
    <t>Airbus A321 (twin-jet)</t>
  </si>
  <si>
    <t>Qatar Airways</t>
  </si>
  <si>
    <t>Thai Airways</t>
  </si>
  <si>
    <t>Boeing 737 MAX 8 (twin-jet)</t>
  </si>
  <si>
    <t>Airbus A320 (twin-jet)</t>
  </si>
  <si>
    <t>LHR-DXB</t>
  </si>
  <si>
    <t>BKK-DXB</t>
  </si>
  <si>
    <t>HKG-DXB</t>
  </si>
  <si>
    <t>Boeing 777-200 (twin-jet)</t>
  </si>
  <si>
    <t>Cathay Pacific</t>
  </si>
  <si>
    <t>Airbus A330-300 (twin-jet)</t>
  </si>
  <si>
    <t>Boeing 747-400 (quad-jet)</t>
  </si>
  <si>
    <t>DOH-SIN</t>
  </si>
  <si>
    <t>Airbus A321neo (twin-jet)</t>
  </si>
  <si>
    <t>SIN-LHR</t>
  </si>
  <si>
    <t>British Airways</t>
  </si>
  <si>
    <t>Boeing 787-9 Dreamliner (twin-jet)</t>
  </si>
  <si>
    <t>BOM-DXB</t>
  </si>
  <si>
    <t>Boeing 787-8 (twin-jet)</t>
  </si>
  <si>
    <t>MEL-DXB</t>
  </si>
  <si>
    <t>Airbus A350-1000 (twin-jet)</t>
  </si>
  <si>
    <t>(空白)</t>
  </si>
  <si>
    <t>行标签</t>
  </si>
  <si>
    <t xml:space="preserve"> cruise_speed_kmh</t>
    <phoneticPr fontId="18" type="noConversion"/>
  </si>
  <si>
    <t xml:space="preserve"> standard_crew_size</t>
  </si>
  <si>
    <t xml:space="preserve"> max_pax_capacity</t>
  </si>
  <si>
    <t>Airbus A330-300 (twin-jet)</t>
    <phoneticPr fontId="18" type="noConversion"/>
  </si>
  <si>
    <t xml:space="preserve"> fuel_burn_gal_per_hr</t>
    <phoneticPr fontId="18" type="noConversion"/>
  </si>
  <si>
    <t>平均值项: cruise_speed_kmh</t>
  </si>
  <si>
    <t>平均值项: fuel_burn_gal_per_hr</t>
  </si>
  <si>
    <t>平均值项: standard_crew_size</t>
  </si>
  <si>
    <t>平均值项: max_pax_capacity</t>
  </si>
  <si>
    <t>3h20m</t>
    <phoneticPr fontId="18" type="noConversion"/>
  </si>
  <si>
    <t>prewar_time (2026.02均值)</t>
    <phoneticPr fontId="18" type="noConversion"/>
  </si>
  <si>
    <t>actual_time (从flightaware实时抓取的total travel time-0.5h）</t>
    <phoneticPr fontId="18" type="noConversion"/>
  </si>
  <si>
    <t>用来算燃油耗油量的时间</t>
    <phoneticPr fontId="18" type="noConversion"/>
  </si>
  <si>
    <t>na</t>
    <phoneticPr fontId="18" type="noConversion"/>
  </si>
  <si>
    <t>非直飞</t>
    <phoneticPr fontId="18" type="noConversion"/>
  </si>
  <si>
    <t>Singapore Airlines</t>
    <phoneticPr fontId="18" type="noConversion"/>
  </si>
  <si>
    <t>Air India</t>
    <phoneticPr fontId="18" type="noConversion"/>
  </si>
  <si>
    <t>Qatar Airways</t>
    <phoneticPr fontId="18" type="noConversion"/>
  </si>
  <si>
    <t>Thai Airways</t>
    <phoneticPr fontId="18" type="noConversion"/>
  </si>
  <si>
    <t>Cathay Pacific</t>
    <phoneticPr fontId="18" type="noConversion"/>
  </si>
  <si>
    <t>British Airways</t>
    <phoneticPr fontId="18" type="noConversion"/>
  </si>
  <si>
    <t>BOEING 777-300ER (twin-jet)</t>
    <phoneticPr fontId="18" type="noConversion"/>
  </si>
  <si>
    <t>Airbus A380-800 (quad-jet)</t>
    <phoneticPr fontId="18" type="noConversion"/>
  </si>
  <si>
    <t>Boeing 777-200 (twin-jet)</t>
    <phoneticPr fontId="18" type="noConversion"/>
  </si>
  <si>
    <t>Airbus A350-900 (twin-jet)</t>
    <phoneticPr fontId="18" type="noConversion"/>
  </si>
  <si>
    <t>BOEING 787-10 Dreamliner (twin-jet)</t>
    <phoneticPr fontId="18" type="noConversion"/>
  </si>
  <si>
    <t>Boeing 737 MAX 8 (twin-jet)</t>
    <phoneticPr fontId="18" type="noConversion"/>
  </si>
  <si>
    <t>Boeing 747-400 (quad-jet)</t>
    <phoneticPr fontId="18" type="noConversion"/>
  </si>
  <si>
    <t>Airbus A321 (twin-jet)</t>
    <phoneticPr fontId="18" type="noConversion"/>
  </si>
  <si>
    <t>Boeing 787-8 (twin-jet)</t>
    <phoneticPr fontId="18" type="noConversion"/>
  </si>
  <si>
    <t>Airbus A320 (twin-jet)</t>
    <phoneticPr fontId="18" type="noConversion"/>
  </si>
  <si>
    <t>Airbus A321neo (twin-jet)</t>
    <phoneticPr fontId="18" type="noConversion"/>
  </si>
  <si>
    <t>Airbus A350-1000 (twin-jet)</t>
    <phoneticPr fontId="18" type="noConversion"/>
  </si>
  <si>
    <t>Boeing 787-9 Dreamliner (twin-jet)</t>
    <phoneticPr fontId="18" type="noConversion"/>
  </si>
  <si>
    <t>航班号</t>
    <phoneticPr fontId="18" type="noConversion"/>
  </si>
  <si>
    <t>ident</t>
  </si>
  <si>
    <t>UAE353</t>
  </si>
  <si>
    <t>UAE355</t>
  </si>
  <si>
    <t>UAE8</t>
  </si>
  <si>
    <t>UAE6</t>
  </si>
  <si>
    <t>UAE4</t>
  </si>
  <si>
    <t>UAE30</t>
  </si>
  <si>
    <t>UAE2</t>
  </si>
  <si>
    <t>UAE375</t>
  </si>
  <si>
    <t>UAE371</t>
  </si>
  <si>
    <t>UAE385</t>
  </si>
  <si>
    <t>UAE373</t>
  </si>
  <si>
    <t>UAE381</t>
  </si>
  <si>
    <t>QTR948</t>
  </si>
  <si>
    <t>QTR942</t>
  </si>
  <si>
    <t>QTR8408</t>
  </si>
  <si>
    <t>QTR8432</t>
  </si>
  <si>
    <t>A7-BTC</t>
  </si>
  <si>
    <t>A7-BFQ</t>
  </si>
  <si>
    <t>SIA318</t>
  </si>
  <si>
    <t>SIA308</t>
  </si>
  <si>
    <t>SIA306</t>
  </si>
  <si>
    <t>BAW12</t>
  </si>
  <si>
    <t>SIA322</t>
  </si>
  <si>
    <t>BAW16</t>
  </si>
  <si>
    <t>UAE505</t>
  </si>
  <si>
    <t>UAE501</t>
  </si>
  <si>
    <t>UAE509</t>
  </si>
  <si>
    <t>UAE503</t>
  </si>
  <si>
    <t>UAE507</t>
  </si>
  <si>
    <t>AIC4217</t>
  </si>
  <si>
    <t>UAE407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</si>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</sst>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" fontId="0" fillId="0" borderId="0" xfId="0" applyNumberFormat="1">
      <alignment vertical="center"/>
    </xf>
    <xf numFmtId="0" fontId="19" fillId="0" borderId="14" xfId="0" applyFont="1" applyBorder="1">
      <alignment vertical="center"/>
    </xf>
    <xf numFmtId="0" fontId="0" fillId="0" borderId="0" xfId="0" applyAlignment="1">
      <alignment horizontal="left" vertical="center" indent="2"/>
    </xf>
    <xf numFmtId="0" fontId="19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21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Border="1">
      <alignment vertical="center"/>
    </xf>
    <xf numFmtId="0" fontId="19" fillId="0" borderId="0" xfId="0" applyFont="1" applyBorder="1">
      <alignment vertical="center"/>
    </xf>
    <xf numFmtId="0" fontId="0" fillId="0" borderId="15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38.744462962961" createdVersion="8" refreshedVersion="8" minRefreshableVersion="3" recordCount="149" xr:uid="{ECB8A5A7-62D6-4499-BBA3-DEC043FBB46C}">
  <cacheSource type="worksheet">
    <worksheetSource ref="A1:H1048576" sheet="flightaware_final_data"/>
  </cacheSource>
  <cacheFields count="7">
    <cacheField name="route" numFmtId="0">
      <sharedItems containsBlank="1" count="9">
        <s v="SIN-DXB"/>
        <s v="LHR-DXB"/>
        <s v="BKK-DXB"/>
        <s v="HKG-DXB"/>
        <s v="DOH-SIN"/>
        <s v="SIN-LHR"/>
        <s v="BOM-DXB"/>
        <s v="MEL-DXB"/>
        <m/>
      </sharedItems>
    </cacheField>
    <cacheField name="airline" numFmtId="0">
      <sharedItems containsBlank="1" count="8">
        <s v="Emirates"/>
        <s v="Singapore Airlines"/>
        <s v="Air India"/>
        <s v="Qatar Airways"/>
        <s v="Thai Airways"/>
        <s v="Cathay Pacific"/>
        <s v="British Airways"/>
        <m/>
      </sharedItems>
    </cacheField>
    <cacheField name="aircraft_model" numFmtId="0">
      <sharedItems containsBlank="1" count="15">
        <s v="Airbus A380-800 (quad-jet)"/>
        <s v="BOEING 777-300ER (twin-jet)"/>
        <s v="BOEING 787-10 Dreamliner (twin-jet)"/>
        <s v="Airbus A350-900 (twin-jet)"/>
        <s v="Airbus A321 (twin-jet)"/>
        <s v="Boeing 737 MAX 8 (twin-jet)"/>
        <s v="Airbus A320 (twin-jet)"/>
        <s v="Boeing 777-200 (twin-jet)"/>
        <s v="Airbus A330-300 (twin-jet)"/>
        <s v="Boeing 747-400 (quad-jet)"/>
        <s v="Airbus A321neo (twin-jet)"/>
        <s v="Boeing 787-9 Dreamliner (twin-jet)"/>
        <s v="Boeing 787-8 (twin-jet)"/>
        <s v="Airbus A350-1000 (twin-jet)"/>
        <m/>
      </sharedItems>
    </cacheField>
    <cacheField name=" cruise_speed_kmh" numFmtId="0">
      <sharedItems containsString="0" containsBlank="1" containsNumber="1" minValue="828" maxValue="969.31799999999998"/>
    </cacheField>
    <cacheField name=" fuel_burn_gal_per_hr" numFmtId="0">
      <sharedItems containsString="0" containsBlank="1" containsNumber="1" containsInteger="1" minValue="650" maxValue="3900"/>
    </cacheField>
    <cacheField name=" standard_crew_size" numFmtId="0">
      <sharedItems containsString="0" containsBlank="1" containsNumber="1" containsInteger="1" minValue="7" maxValue="16"/>
    </cacheField>
    <cacheField name=" max_pax_capacity" numFmtId="0">
      <sharedItems containsString="0" containsBlank="1" containsNumber="1" containsInteger="1" minValue="150" maxValue="5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39.877458680552" createdVersion="8" refreshedVersion="8" minRefreshableVersion="3" recordCount="149" xr:uid="{B02F901B-36E9-4185-BD03-F88CA6442093}">
  <cacheSource type="worksheet">
    <worksheetSource ref="A1:H1048576" sheet="直飞航班"/>
  </cacheSource>
  <cacheFields count="8">
    <cacheField name="route" numFmtId="0">
      <sharedItems containsBlank="1" count="9">
        <s v="SIN-DXB"/>
        <s v="LHR-DXB"/>
        <s v="BKK-DXB"/>
        <s v="HKG-DXB"/>
        <s v="DOH-SIN"/>
        <s v="SIN-LHR"/>
        <s v="BOM-DXB"/>
        <s v="MEL-DXB"/>
        <m/>
      </sharedItems>
    </cacheField>
    <cacheField name="airline" numFmtId="0">
      <sharedItems containsBlank="1" count="6">
        <s v="Emirates"/>
        <s v="Qatar Airways"/>
        <s v="Singapore Airlines"/>
        <s v="British Airways"/>
        <s v="Air India"/>
        <m/>
      </sharedItems>
    </cacheField>
    <cacheField name="ident" numFmtId="0">
      <sharedItems containsBlank="1" count="32">
        <s v="UAE353"/>
        <s v="UAE355"/>
        <s v="UAE8"/>
        <s v="UAE6"/>
        <s v="UAE4"/>
        <s v="UAE30"/>
        <s v="UAE2"/>
        <s v="UAE375"/>
        <s v="UAE371"/>
        <s v="UAE385"/>
        <s v="UAE373"/>
        <s v="UAE381"/>
        <s v="QTR948"/>
        <s v="QTR942"/>
        <s v="QTR8408"/>
        <s v="QTR8432"/>
        <s v="A7-BTC"/>
        <s v="A7-BFQ"/>
        <s v="SIA318"/>
        <s v="SIA308"/>
        <s v="SIA306"/>
        <s v="BAW12"/>
        <s v="SIA322"/>
        <s v="BAW16"/>
        <s v="UAE505"/>
        <s v="UAE501"/>
        <s v="UAE509"/>
        <s v="UAE503"/>
        <s v="UAE507"/>
        <s v="AIC4217"/>
        <s v="UAE407"/>
        <m/>
      </sharedItems>
    </cacheField>
    <cacheField name="aircraft_model" numFmtId="0">
      <sharedItems containsBlank="1" count="7">
        <s v="Airbus A380-800 (quad-jet)"/>
        <s v="BOEING 777-300ER (twin-jet)"/>
        <s v="Airbus A350-900 (twin-jet)"/>
        <s v="Boeing 777-200 (twin-jet)"/>
        <s v="Boeing 787-9 Dreamliner (twin-jet)"/>
        <s v="Boeing 787-8 (twin-jet)"/>
        <m/>
      </sharedItems>
    </cacheField>
    <cacheField name=" cruise_speed_kmh" numFmtId="0">
      <sharedItems containsString="0" containsBlank="1" containsNumber="1" minValue="893" maxValue="963.04000000000008"/>
    </cacheField>
    <cacheField name=" fuel_burn_gal_per_hr" numFmtId="0">
      <sharedItems containsString="0" containsBlank="1" containsNumber="1" containsInteger="1" minValue="1750" maxValue="3900"/>
    </cacheField>
    <cacheField name=" standard_crew_size" numFmtId="0">
      <sharedItems containsString="0" containsBlank="1" containsNumber="1" containsInteger="1" minValue="9" maxValue="16"/>
    </cacheField>
    <cacheField name=" max_pax_capacity" numFmtId="0">
      <sharedItems containsString="0" containsBlank="1" containsNumber="1" containsInteger="1" minValue="230" maxValue="5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x v="0"/>
    <x v="0"/>
    <n v="963.04000000000008"/>
    <n v="3900"/>
    <n v="16"/>
    <n v="555"/>
  </r>
  <r>
    <x v="0"/>
    <x v="0"/>
    <x v="1"/>
    <n v="893"/>
    <n v="2400"/>
    <n v="12"/>
    <n v="390"/>
  </r>
  <r>
    <x v="0"/>
    <x v="0"/>
    <x v="0"/>
    <n v="963.04000000000008"/>
    <n v="3900"/>
    <n v="16"/>
    <n v="555"/>
  </r>
  <r>
    <x v="0"/>
    <x v="0"/>
    <x v="1"/>
    <n v="893"/>
    <n v="2400"/>
    <n v="12"/>
    <n v="390"/>
  </r>
  <r>
    <x v="0"/>
    <x v="0"/>
    <x v="0"/>
    <n v="963.04000000000008"/>
    <n v="3900"/>
    <n v="16"/>
    <n v="555"/>
  </r>
  <r>
    <x v="0"/>
    <x v="0"/>
    <x v="1"/>
    <n v="893"/>
    <n v="2400"/>
    <n v="12"/>
    <n v="390"/>
  </r>
  <r>
    <x v="0"/>
    <x v="1"/>
    <x v="2"/>
    <n v="913"/>
    <n v="1750"/>
    <n v="9"/>
    <n v="230"/>
  </r>
  <r>
    <x v="0"/>
    <x v="0"/>
    <x v="0"/>
    <n v="963.04000000000008"/>
    <n v="3900"/>
    <n v="16"/>
    <n v="555"/>
  </r>
  <r>
    <x v="0"/>
    <x v="0"/>
    <x v="1"/>
    <n v="893"/>
    <n v="2400"/>
    <n v="12"/>
    <n v="390"/>
  </r>
  <r>
    <x v="0"/>
    <x v="1"/>
    <x v="3"/>
    <n v="901.92400000000009"/>
    <n v="1900"/>
    <n v="11"/>
    <n v="314"/>
  </r>
  <r>
    <x v="0"/>
    <x v="2"/>
    <x v="4"/>
    <n v="828"/>
    <n v="950"/>
    <n v="8"/>
    <n v="186"/>
  </r>
  <r>
    <x v="0"/>
    <x v="2"/>
    <x v="4"/>
    <n v="828"/>
    <n v="950"/>
    <n v="8"/>
    <n v="186"/>
  </r>
  <r>
    <x v="0"/>
    <x v="1"/>
    <x v="3"/>
    <n v="901.92400000000009"/>
    <n v="1900"/>
    <n v="11"/>
    <n v="314"/>
  </r>
  <r>
    <x v="0"/>
    <x v="0"/>
    <x v="0"/>
    <n v="963.04000000000008"/>
    <n v="3900"/>
    <n v="16"/>
    <n v="555"/>
  </r>
  <r>
    <x v="0"/>
    <x v="3"/>
    <x v="3"/>
    <n v="901.92400000000009"/>
    <n v="1900"/>
    <n v="11"/>
    <n v="314"/>
  </r>
  <r>
    <x v="0"/>
    <x v="0"/>
    <x v="1"/>
    <n v="893"/>
    <n v="2400"/>
    <n v="12"/>
    <n v="390"/>
  </r>
  <r>
    <x v="0"/>
    <x v="0"/>
    <x v="0"/>
    <n v="963.04000000000008"/>
    <n v="3900"/>
    <n v="16"/>
    <n v="555"/>
  </r>
  <r>
    <x v="0"/>
    <x v="4"/>
    <x v="3"/>
    <n v="901.92400000000009"/>
    <n v="1900"/>
    <n v="11"/>
    <n v="314"/>
  </r>
  <r>
    <x v="0"/>
    <x v="0"/>
    <x v="0"/>
    <n v="963.04000000000008"/>
    <n v="3900"/>
    <n v="16"/>
    <n v="555"/>
  </r>
  <r>
    <x v="0"/>
    <x v="1"/>
    <x v="3"/>
    <n v="901.92400000000009"/>
    <n v="1900"/>
    <n v="11"/>
    <n v="314"/>
  </r>
  <r>
    <x v="0"/>
    <x v="0"/>
    <x v="0"/>
    <n v="963.04000000000008"/>
    <n v="3900"/>
    <n v="16"/>
    <n v="555"/>
  </r>
  <r>
    <x v="0"/>
    <x v="0"/>
    <x v="1"/>
    <n v="893"/>
    <n v="2400"/>
    <n v="12"/>
    <n v="390"/>
  </r>
  <r>
    <x v="0"/>
    <x v="1"/>
    <x v="2"/>
    <n v="913"/>
    <n v="1750"/>
    <n v="9"/>
    <n v="230"/>
  </r>
  <r>
    <x v="0"/>
    <x v="0"/>
    <x v="0"/>
    <n v="963.04000000000008"/>
    <n v="3900"/>
    <n v="16"/>
    <n v="555"/>
  </r>
  <r>
    <x v="0"/>
    <x v="1"/>
    <x v="5"/>
    <n v="969.31799999999998"/>
    <n v="720"/>
    <n v="8"/>
    <n v="170"/>
  </r>
  <r>
    <x v="0"/>
    <x v="0"/>
    <x v="1"/>
    <n v="893"/>
    <n v="2400"/>
    <n v="12"/>
    <n v="390"/>
  </r>
  <r>
    <x v="0"/>
    <x v="4"/>
    <x v="6"/>
    <n v="840"/>
    <n v="826"/>
    <n v="7"/>
    <n v="150"/>
  </r>
  <r>
    <x v="0"/>
    <x v="0"/>
    <x v="0"/>
    <n v="963.04000000000008"/>
    <n v="3900"/>
    <n v="16"/>
    <n v="555"/>
  </r>
  <r>
    <x v="0"/>
    <x v="1"/>
    <x v="2"/>
    <n v="913"/>
    <n v="1750"/>
    <n v="9"/>
    <n v="230"/>
  </r>
  <r>
    <x v="0"/>
    <x v="1"/>
    <x v="5"/>
    <n v="969.31799999999998"/>
    <n v="720"/>
    <n v="8"/>
    <n v="170"/>
  </r>
  <r>
    <x v="0"/>
    <x v="4"/>
    <x v="6"/>
    <n v="840"/>
    <n v="826"/>
    <n v="7"/>
    <n v="150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1"/>
    <x v="0"/>
    <x v="0"/>
    <n v="963.04000000000008"/>
    <n v="3900"/>
    <n v="16"/>
    <n v="555"/>
  </r>
  <r>
    <x v="2"/>
    <x v="0"/>
    <x v="0"/>
    <n v="963.04000000000008"/>
    <n v="3900"/>
    <n v="16"/>
    <n v="555"/>
  </r>
  <r>
    <x v="2"/>
    <x v="0"/>
    <x v="1"/>
    <n v="893"/>
    <n v="2400"/>
    <n v="12"/>
    <n v="390"/>
  </r>
  <r>
    <x v="2"/>
    <x v="0"/>
    <x v="0"/>
    <n v="963.04000000000008"/>
    <n v="3900"/>
    <n v="16"/>
    <n v="555"/>
  </r>
  <r>
    <x v="2"/>
    <x v="0"/>
    <x v="0"/>
    <n v="963.04000000000008"/>
    <n v="3900"/>
    <n v="16"/>
    <n v="555"/>
  </r>
  <r>
    <x v="2"/>
    <x v="0"/>
    <x v="0"/>
    <n v="963.04000000000008"/>
    <n v="3900"/>
    <n v="16"/>
    <n v="555"/>
  </r>
  <r>
    <x v="2"/>
    <x v="0"/>
    <x v="1"/>
    <n v="893"/>
    <n v="2400"/>
    <n v="12"/>
    <n v="390"/>
  </r>
  <r>
    <x v="2"/>
    <x v="0"/>
    <x v="0"/>
    <n v="963.04000000000008"/>
    <n v="3900"/>
    <n v="16"/>
    <n v="555"/>
  </r>
  <r>
    <x v="2"/>
    <x v="0"/>
    <x v="0"/>
    <n v="963.04000000000008"/>
    <n v="3900"/>
    <n v="16"/>
    <n v="555"/>
  </r>
  <r>
    <x v="2"/>
    <x v="0"/>
    <x v="0"/>
    <n v="963.04000000000008"/>
    <n v="3900"/>
    <n v="16"/>
    <n v="555"/>
  </r>
  <r>
    <x v="2"/>
    <x v="0"/>
    <x v="1"/>
    <n v="893"/>
    <n v="2400"/>
    <n v="12"/>
    <n v="390"/>
  </r>
  <r>
    <x v="2"/>
    <x v="0"/>
    <x v="0"/>
    <n v="963.04000000000008"/>
    <n v="3900"/>
    <n v="16"/>
    <n v="555"/>
  </r>
  <r>
    <x v="2"/>
    <x v="0"/>
    <x v="0"/>
    <n v="963.04000000000008"/>
    <n v="3900"/>
    <n v="16"/>
    <n v="555"/>
  </r>
  <r>
    <x v="3"/>
    <x v="0"/>
    <x v="7"/>
    <n v="905"/>
    <n v="2450"/>
    <n v="11"/>
    <n v="305"/>
  </r>
  <r>
    <x v="3"/>
    <x v="0"/>
    <x v="0"/>
    <n v="963.04000000000008"/>
    <n v="3900"/>
    <n v="16"/>
    <n v="555"/>
  </r>
  <r>
    <x v="3"/>
    <x v="0"/>
    <x v="0"/>
    <n v="963.04000000000008"/>
    <n v="3900"/>
    <n v="16"/>
    <n v="555"/>
  </r>
  <r>
    <x v="3"/>
    <x v="0"/>
    <x v="0"/>
    <n v="963.04000000000008"/>
    <n v="3900"/>
    <n v="16"/>
    <n v="555"/>
  </r>
  <r>
    <x v="3"/>
    <x v="0"/>
    <x v="7"/>
    <n v="905"/>
    <n v="2450"/>
    <n v="11"/>
    <n v="305"/>
  </r>
  <r>
    <x v="3"/>
    <x v="4"/>
    <x v="6"/>
    <n v="840"/>
    <n v="826"/>
    <n v="7"/>
    <n v="150"/>
  </r>
  <r>
    <x v="3"/>
    <x v="0"/>
    <x v="0"/>
    <n v="963.04000000000008"/>
    <n v="3900"/>
    <n v="16"/>
    <n v="555"/>
  </r>
  <r>
    <x v="3"/>
    <x v="5"/>
    <x v="8"/>
    <n v="860"/>
    <n v="1850"/>
    <n v="11"/>
    <n v="335"/>
  </r>
  <r>
    <x v="3"/>
    <x v="0"/>
    <x v="1"/>
    <n v="893"/>
    <n v="2400"/>
    <n v="12"/>
    <n v="390"/>
  </r>
  <r>
    <x v="3"/>
    <x v="2"/>
    <x v="4"/>
    <n v="828"/>
    <n v="950"/>
    <n v="8"/>
    <n v="186"/>
  </r>
  <r>
    <x v="3"/>
    <x v="3"/>
    <x v="6"/>
    <n v="840"/>
    <n v="826"/>
    <n v="7"/>
    <n v="150"/>
  </r>
  <r>
    <x v="3"/>
    <x v="3"/>
    <x v="1"/>
    <n v="893"/>
    <n v="2400"/>
    <n v="12"/>
    <n v="390"/>
  </r>
  <r>
    <x v="3"/>
    <x v="5"/>
    <x v="8"/>
    <n v="860"/>
    <n v="1850"/>
    <n v="11"/>
    <n v="335"/>
  </r>
  <r>
    <x v="3"/>
    <x v="0"/>
    <x v="1"/>
    <n v="893"/>
    <n v="2400"/>
    <n v="12"/>
    <n v="390"/>
  </r>
  <r>
    <x v="3"/>
    <x v="0"/>
    <x v="0"/>
    <n v="963.04000000000008"/>
    <n v="3900"/>
    <n v="16"/>
    <n v="555"/>
  </r>
  <r>
    <x v="3"/>
    <x v="0"/>
    <x v="0"/>
    <n v="963.04000000000008"/>
    <n v="3900"/>
    <n v="16"/>
    <n v="555"/>
  </r>
  <r>
    <x v="3"/>
    <x v="4"/>
    <x v="1"/>
    <n v="893"/>
    <n v="2400"/>
    <n v="12"/>
    <n v="390"/>
  </r>
  <r>
    <x v="3"/>
    <x v="0"/>
    <x v="0"/>
    <n v="963.04000000000008"/>
    <n v="3900"/>
    <n v="16"/>
    <n v="555"/>
  </r>
  <r>
    <x v="3"/>
    <x v="1"/>
    <x v="3"/>
    <n v="901.92400000000009"/>
    <n v="1900"/>
    <n v="11"/>
    <n v="314"/>
  </r>
  <r>
    <x v="3"/>
    <x v="0"/>
    <x v="0"/>
    <n v="963.04000000000008"/>
    <n v="3900"/>
    <n v="16"/>
    <n v="555"/>
  </r>
  <r>
    <x v="3"/>
    <x v="1"/>
    <x v="9"/>
    <n v="907"/>
    <n v="3400"/>
    <n v="13"/>
    <n v="416"/>
  </r>
  <r>
    <x v="3"/>
    <x v="5"/>
    <x v="8"/>
    <n v="860"/>
    <n v="1850"/>
    <n v="11"/>
    <n v="335"/>
  </r>
  <r>
    <x v="4"/>
    <x v="3"/>
    <x v="3"/>
    <n v="901.92400000000009"/>
    <n v="1900"/>
    <n v="11"/>
    <n v="314"/>
  </r>
  <r>
    <x v="4"/>
    <x v="3"/>
    <x v="3"/>
    <n v="901.92400000000009"/>
    <n v="1900"/>
    <n v="11"/>
    <n v="314"/>
  </r>
  <r>
    <x v="4"/>
    <x v="3"/>
    <x v="7"/>
    <n v="905"/>
    <n v="2450"/>
    <n v="11"/>
    <n v="305"/>
  </r>
  <r>
    <x v="4"/>
    <x v="3"/>
    <x v="3"/>
    <n v="901.92400000000009"/>
    <n v="1900"/>
    <n v="11"/>
    <n v="314"/>
  </r>
  <r>
    <x v="4"/>
    <x v="3"/>
    <x v="3"/>
    <n v="901.92400000000009"/>
    <n v="1900"/>
    <n v="11"/>
    <n v="314"/>
  </r>
  <r>
    <x v="4"/>
    <x v="3"/>
    <x v="6"/>
    <n v="840"/>
    <n v="826"/>
    <n v="7"/>
    <n v="150"/>
  </r>
  <r>
    <x v="4"/>
    <x v="3"/>
    <x v="3"/>
    <n v="901.92400000000009"/>
    <n v="1900"/>
    <n v="11"/>
    <n v="314"/>
  </r>
  <r>
    <x v="4"/>
    <x v="3"/>
    <x v="3"/>
    <n v="901.92400000000009"/>
    <n v="1900"/>
    <n v="11"/>
    <n v="314"/>
  </r>
  <r>
    <x v="4"/>
    <x v="3"/>
    <x v="10"/>
    <n v="828"/>
    <n v="650"/>
    <n v="8"/>
    <n v="186"/>
  </r>
  <r>
    <x v="4"/>
    <x v="3"/>
    <x v="10"/>
    <n v="828"/>
    <n v="650"/>
    <n v="8"/>
    <n v="186"/>
  </r>
  <r>
    <x v="4"/>
    <x v="3"/>
    <x v="7"/>
    <n v="905"/>
    <n v="2450"/>
    <n v="11"/>
    <n v="305"/>
  </r>
  <r>
    <x v="5"/>
    <x v="1"/>
    <x v="1"/>
    <n v="893"/>
    <n v="2400"/>
    <n v="12"/>
    <n v="390"/>
  </r>
  <r>
    <x v="5"/>
    <x v="1"/>
    <x v="0"/>
    <n v="963.04000000000008"/>
    <n v="3900"/>
    <n v="16"/>
    <n v="555"/>
  </r>
  <r>
    <x v="5"/>
    <x v="1"/>
    <x v="1"/>
    <n v="893"/>
    <n v="2400"/>
    <n v="12"/>
    <n v="390"/>
  </r>
  <r>
    <x v="5"/>
    <x v="6"/>
    <x v="1"/>
    <n v="893"/>
    <n v="2400"/>
    <n v="12"/>
    <n v="390"/>
  </r>
  <r>
    <x v="5"/>
    <x v="1"/>
    <x v="0"/>
    <n v="963.04000000000008"/>
    <n v="3900"/>
    <n v="16"/>
    <n v="555"/>
  </r>
  <r>
    <x v="5"/>
    <x v="6"/>
    <x v="11"/>
    <n v="907.48"/>
    <n v="1750"/>
    <n v="9"/>
    <n v="230"/>
  </r>
  <r>
    <x v="5"/>
    <x v="1"/>
    <x v="1"/>
    <n v="893"/>
    <n v="2400"/>
    <n v="12"/>
    <n v="390"/>
  </r>
  <r>
    <x v="5"/>
    <x v="1"/>
    <x v="0"/>
    <n v="963.04000000000008"/>
    <n v="3900"/>
    <n v="16"/>
    <n v="555"/>
  </r>
  <r>
    <x v="5"/>
    <x v="1"/>
    <x v="1"/>
    <n v="893"/>
    <n v="2400"/>
    <n v="12"/>
    <n v="390"/>
  </r>
  <r>
    <x v="5"/>
    <x v="6"/>
    <x v="1"/>
    <n v="893"/>
    <n v="2400"/>
    <n v="12"/>
    <n v="390"/>
  </r>
  <r>
    <x v="5"/>
    <x v="1"/>
    <x v="0"/>
    <n v="963.04000000000008"/>
    <n v="3900"/>
    <n v="16"/>
    <n v="555"/>
  </r>
  <r>
    <x v="5"/>
    <x v="6"/>
    <x v="11"/>
    <n v="907.48"/>
    <n v="1750"/>
    <n v="9"/>
    <n v="230"/>
  </r>
  <r>
    <x v="5"/>
    <x v="1"/>
    <x v="1"/>
    <n v="893"/>
    <n v="2400"/>
    <n v="12"/>
    <n v="390"/>
  </r>
  <r>
    <x v="5"/>
    <x v="1"/>
    <x v="0"/>
    <n v="963.04000000000008"/>
    <n v="3900"/>
    <n v="16"/>
    <n v="555"/>
  </r>
  <r>
    <x v="5"/>
    <x v="1"/>
    <x v="1"/>
    <n v="893"/>
    <n v="2400"/>
    <n v="12"/>
    <n v="390"/>
  </r>
  <r>
    <x v="5"/>
    <x v="6"/>
    <x v="1"/>
    <n v="893"/>
    <n v="2400"/>
    <n v="12"/>
    <n v="390"/>
  </r>
  <r>
    <x v="5"/>
    <x v="1"/>
    <x v="0"/>
    <n v="963.04000000000008"/>
    <n v="3900"/>
    <n v="16"/>
    <n v="555"/>
  </r>
  <r>
    <x v="5"/>
    <x v="6"/>
    <x v="11"/>
    <n v="907.48"/>
    <n v="1750"/>
    <n v="9"/>
    <n v="230"/>
  </r>
  <r>
    <x v="6"/>
    <x v="0"/>
    <x v="1"/>
    <n v="893"/>
    <n v="2400"/>
    <n v="12"/>
    <n v="390"/>
  </r>
  <r>
    <x v="6"/>
    <x v="0"/>
    <x v="0"/>
    <n v="963.04000000000008"/>
    <n v="3900"/>
    <n v="16"/>
    <n v="555"/>
  </r>
  <r>
    <x v="6"/>
    <x v="0"/>
    <x v="1"/>
    <n v="893"/>
    <n v="2400"/>
    <n v="12"/>
    <n v="390"/>
  </r>
  <r>
    <x v="6"/>
    <x v="0"/>
    <x v="3"/>
    <n v="901.92400000000009"/>
    <n v="1900"/>
    <n v="11"/>
    <n v="314"/>
  </r>
  <r>
    <x v="6"/>
    <x v="0"/>
    <x v="1"/>
    <n v="893"/>
    <n v="2400"/>
    <n v="12"/>
    <n v="390"/>
  </r>
  <r>
    <x v="6"/>
    <x v="2"/>
    <x v="12"/>
    <n v="913"/>
    <n v="1750"/>
    <n v="9"/>
    <n v="230"/>
  </r>
  <r>
    <x v="6"/>
    <x v="0"/>
    <x v="1"/>
    <n v="893"/>
    <n v="2400"/>
    <n v="12"/>
    <n v="390"/>
  </r>
  <r>
    <x v="6"/>
    <x v="0"/>
    <x v="0"/>
    <n v="963.04000000000008"/>
    <n v="3900"/>
    <n v="16"/>
    <n v="555"/>
  </r>
  <r>
    <x v="6"/>
    <x v="0"/>
    <x v="1"/>
    <n v="893"/>
    <n v="2400"/>
    <n v="12"/>
    <n v="390"/>
  </r>
  <r>
    <x v="6"/>
    <x v="0"/>
    <x v="3"/>
    <n v="901.92400000000009"/>
    <n v="1900"/>
    <n v="11"/>
    <n v="314"/>
  </r>
  <r>
    <x v="6"/>
    <x v="0"/>
    <x v="1"/>
    <n v="893"/>
    <n v="2400"/>
    <n v="12"/>
    <n v="390"/>
  </r>
  <r>
    <x v="6"/>
    <x v="2"/>
    <x v="12"/>
    <n v="913"/>
    <n v="1750"/>
    <n v="9"/>
    <n v="230"/>
  </r>
  <r>
    <x v="6"/>
    <x v="0"/>
    <x v="1"/>
    <n v="893"/>
    <n v="2400"/>
    <n v="12"/>
    <n v="390"/>
  </r>
  <r>
    <x v="6"/>
    <x v="0"/>
    <x v="0"/>
    <n v="963.04000000000008"/>
    <n v="3900"/>
    <n v="16"/>
    <n v="555"/>
  </r>
  <r>
    <x v="6"/>
    <x v="0"/>
    <x v="1"/>
    <n v="893"/>
    <n v="2400"/>
    <n v="12"/>
    <n v="390"/>
  </r>
  <r>
    <x v="6"/>
    <x v="0"/>
    <x v="3"/>
    <n v="901.92400000000009"/>
    <n v="1900"/>
    <n v="11"/>
    <n v="314"/>
  </r>
  <r>
    <x v="6"/>
    <x v="0"/>
    <x v="1"/>
    <n v="893"/>
    <n v="2400"/>
    <n v="12"/>
    <n v="390"/>
  </r>
  <r>
    <x v="6"/>
    <x v="2"/>
    <x v="12"/>
    <n v="913"/>
    <n v="1750"/>
    <n v="9"/>
    <n v="230"/>
  </r>
  <r>
    <x v="7"/>
    <x v="0"/>
    <x v="0"/>
    <n v="963.04000000000008"/>
    <n v="3900"/>
    <n v="16"/>
    <n v="555"/>
  </r>
  <r>
    <x v="7"/>
    <x v="0"/>
    <x v="0"/>
    <n v="963.04000000000008"/>
    <n v="3900"/>
    <n v="16"/>
    <n v="555"/>
  </r>
  <r>
    <x v="7"/>
    <x v="0"/>
    <x v="0"/>
    <n v="963.04000000000008"/>
    <n v="3900"/>
    <n v="16"/>
    <n v="555"/>
  </r>
  <r>
    <x v="7"/>
    <x v="0"/>
    <x v="0"/>
    <n v="963.04000000000008"/>
    <n v="3900"/>
    <n v="16"/>
    <n v="555"/>
  </r>
  <r>
    <x v="7"/>
    <x v="0"/>
    <x v="3"/>
    <n v="901.92400000000009"/>
    <n v="1900"/>
    <n v="11"/>
    <n v="314"/>
  </r>
  <r>
    <x v="7"/>
    <x v="0"/>
    <x v="0"/>
    <n v="963.04000000000008"/>
    <n v="3900"/>
    <n v="16"/>
    <n v="555"/>
  </r>
  <r>
    <x v="7"/>
    <x v="1"/>
    <x v="0"/>
    <n v="963.04000000000008"/>
    <n v="3900"/>
    <n v="16"/>
    <n v="555"/>
  </r>
  <r>
    <x v="7"/>
    <x v="5"/>
    <x v="3"/>
    <n v="901.92400000000009"/>
    <n v="1900"/>
    <n v="11"/>
    <n v="314"/>
  </r>
  <r>
    <x v="7"/>
    <x v="0"/>
    <x v="0"/>
    <n v="963.04000000000008"/>
    <n v="3900"/>
    <n v="16"/>
    <n v="555"/>
  </r>
  <r>
    <x v="7"/>
    <x v="0"/>
    <x v="0"/>
    <n v="963.04000000000008"/>
    <n v="3900"/>
    <n v="16"/>
    <n v="555"/>
  </r>
  <r>
    <x v="7"/>
    <x v="4"/>
    <x v="3"/>
    <n v="901.92400000000009"/>
    <n v="1900"/>
    <n v="11"/>
    <n v="314"/>
  </r>
  <r>
    <x v="7"/>
    <x v="0"/>
    <x v="0"/>
    <n v="963.04000000000008"/>
    <n v="3900"/>
    <n v="16"/>
    <n v="555"/>
  </r>
  <r>
    <x v="7"/>
    <x v="0"/>
    <x v="1"/>
    <n v="893"/>
    <n v="2400"/>
    <n v="12"/>
    <n v="390"/>
  </r>
  <r>
    <x v="7"/>
    <x v="0"/>
    <x v="0"/>
    <n v="963.04000000000008"/>
    <n v="3900"/>
    <n v="16"/>
    <n v="555"/>
  </r>
  <r>
    <x v="7"/>
    <x v="4"/>
    <x v="3"/>
    <n v="901.92400000000009"/>
    <n v="1900"/>
    <n v="11"/>
    <n v="314"/>
  </r>
  <r>
    <x v="7"/>
    <x v="0"/>
    <x v="0"/>
    <n v="963.04000000000008"/>
    <n v="3900"/>
    <n v="16"/>
    <n v="555"/>
  </r>
  <r>
    <x v="7"/>
    <x v="3"/>
    <x v="13"/>
    <n v="901.92400000000009"/>
    <n v="1850"/>
    <n v="11"/>
    <n v="350"/>
  </r>
  <r>
    <x v="7"/>
    <x v="0"/>
    <x v="3"/>
    <n v="901.92400000000009"/>
    <n v="1900"/>
    <n v="11"/>
    <n v="314"/>
  </r>
  <r>
    <x v="7"/>
    <x v="0"/>
    <x v="0"/>
    <n v="963.04000000000008"/>
    <n v="3900"/>
    <n v="16"/>
    <n v="555"/>
  </r>
  <r>
    <x v="7"/>
    <x v="1"/>
    <x v="3"/>
    <n v="901.92400000000009"/>
    <n v="1900"/>
    <n v="11"/>
    <n v="314"/>
  </r>
  <r>
    <x v="7"/>
    <x v="0"/>
    <x v="0"/>
    <n v="963.04000000000008"/>
    <n v="3900"/>
    <n v="16"/>
    <n v="555"/>
  </r>
  <r>
    <x v="8"/>
    <x v="7"/>
    <x v="1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x v="0"/>
    <x v="0"/>
    <x v="0"/>
    <n v="963.04000000000008"/>
    <n v="3900"/>
    <n v="16"/>
    <n v="555"/>
  </r>
  <r>
    <x v="0"/>
    <x v="0"/>
    <x v="1"/>
    <x v="1"/>
    <n v="893"/>
    <n v="2400"/>
    <n v="12"/>
    <n v="390"/>
  </r>
  <r>
    <x v="0"/>
    <x v="0"/>
    <x v="0"/>
    <x v="0"/>
    <n v="963.04000000000008"/>
    <n v="3900"/>
    <n v="16"/>
    <n v="555"/>
  </r>
  <r>
    <x v="0"/>
    <x v="0"/>
    <x v="1"/>
    <x v="1"/>
    <n v="893"/>
    <n v="2400"/>
    <n v="12"/>
    <n v="390"/>
  </r>
  <r>
    <x v="0"/>
    <x v="0"/>
    <x v="0"/>
    <x v="0"/>
    <n v="963.04000000000008"/>
    <n v="3900"/>
    <n v="16"/>
    <n v="555"/>
  </r>
  <r>
    <x v="0"/>
    <x v="0"/>
    <x v="1"/>
    <x v="1"/>
    <n v="893"/>
    <n v="2400"/>
    <n v="12"/>
    <n v="390"/>
  </r>
  <r>
    <x v="1"/>
    <x v="0"/>
    <x v="2"/>
    <x v="0"/>
    <n v="963.04000000000008"/>
    <n v="3900"/>
    <n v="16"/>
    <n v="555"/>
  </r>
  <r>
    <x v="1"/>
    <x v="0"/>
    <x v="3"/>
    <x v="0"/>
    <n v="963.04000000000008"/>
    <n v="3900"/>
    <n v="16"/>
    <n v="555"/>
  </r>
  <r>
    <x v="1"/>
    <x v="0"/>
    <x v="4"/>
    <x v="0"/>
    <n v="963.04000000000008"/>
    <n v="3900"/>
    <n v="16"/>
    <n v="555"/>
  </r>
  <r>
    <x v="1"/>
    <x v="0"/>
    <x v="5"/>
    <x v="0"/>
    <n v="963.04000000000008"/>
    <n v="3900"/>
    <n v="16"/>
    <n v="555"/>
  </r>
  <r>
    <x v="1"/>
    <x v="0"/>
    <x v="6"/>
    <x v="0"/>
    <n v="963.04000000000008"/>
    <n v="3900"/>
    <n v="16"/>
    <n v="555"/>
  </r>
  <r>
    <x v="1"/>
    <x v="0"/>
    <x v="2"/>
    <x v="0"/>
    <n v="963.04000000000008"/>
    <n v="3900"/>
    <n v="16"/>
    <n v="555"/>
  </r>
  <r>
    <x v="1"/>
    <x v="0"/>
    <x v="3"/>
    <x v="0"/>
    <n v="963.04000000000008"/>
    <n v="3900"/>
    <n v="16"/>
    <n v="555"/>
  </r>
  <r>
    <x v="1"/>
    <x v="0"/>
    <x v="3"/>
    <x v="0"/>
    <n v="963.04000000000008"/>
    <n v="3900"/>
    <n v="16"/>
    <n v="555"/>
  </r>
  <r>
    <x v="1"/>
    <x v="0"/>
    <x v="4"/>
    <x v="0"/>
    <n v="963.04000000000008"/>
    <n v="3900"/>
    <n v="16"/>
    <n v="555"/>
  </r>
  <r>
    <x v="1"/>
    <x v="0"/>
    <x v="5"/>
    <x v="0"/>
    <n v="963.04000000000008"/>
    <n v="3900"/>
    <n v="16"/>
    <n v="555"/>
  </r>
  <r>
    <x v="1"/>
    <x v="0"/>
    <x v="6"/>
    <x v="0"/>
    <n v="963.04000000000008"/>
    <n v="3900"/>
    <n v="16"/>
    <n v="555"/>
  </r>
  <r>
    <x v="1"/>
    <x v="0"/>
    <x v="2"/>
    <x v="0"/>
    <n v="963.04000000000008"/>
    <n v="3900"/>
    <n v="16"/>
    <n v="555"/>
  </r>
  <r>
    <x v="1"/>
    <x v="0"/>
    <x v="4"/>
    <x v="0"/>
    <n v="963.04000000000008"/>
    <n v="3900"/>
    <n v="16"/>
    <n v="555"/>
  </r>
  <r>
    <x v="1"/>
    <x v="0"/>
    <x v="5"/>
    <x v="0"/>
    <n v="963.04000000000008"/>
    <n v="3900"/>
    <n v="16"/>
    <n v="555"/>
  </r>
  <r>
    <x v="1"/>
    <x v="0"/>
    <x v="6"/>
    <x v="0"/>
    <n v="963.04000000000008"/>
    <n v="3900"/>
    <n v="16"/>
    <n v="555"/>
  </r>
  <r>
    <x v="2"/>
    <x v="0"/>
    <x v="7"/>
    <x v="0"/>
    <n v="963.04000000000008"/>
    <n v="3900"/>
    <n v="16"/>
    <n v="555"/>
  </r>
  <r>
    <x v="2"/>
    <x v="0"/>
    <x v="8"/>
    <x v="1"/>
    <n v="893"/>
    <n v="2400"/>
    <n v="12"/>
    <n v="390"/>
  </r>
  <r>
    <x v="2"/>
    <x v="0"/>
    <x v="9"/>
    <x v="0"/>
    <n v="963.04000000000008"/>
    <n v="3900"/>
    <n v="16"/>
    <n v="555"/>
  </r>
  <r>
    <x v="2"/>
    <x v="0"/>
    <x v="10"/>
    <x v="0"/>
    <n v="963.04000000000008"/>
    <n v="3900"/>
    <n v="16"/>
    <n v="555"/>
  </r>
  <r>
    <x v="2"/>
    <x v="0"/>
    <x v="7"/>
    <x v="0"/>
    <n v="963.04000000000008"/>
    <n v="3900"/>
    <n v="16"/>
    <n v="555"/>
  </r>
  <r>
    <x v="2"/>
    <x v="0"/>
    <x v="8"/>
    <x v="1"/>
    <n v="893"/>
    <n v="2400"/>
    <n v="12"/>
    <n v="390"/>
  </r>
  <r>
    <x v="2"/>
    <x v="0"/>
    <x v="9"/>
    <x v="0"/>
    <n v="963.04000000000008"/>
    <n v="3900"/>
    <n v="16"/>
    <n v="555"/>
  </r>
  <r>
    <x v="2"/>
    <x v="0"/>
    <x v="10"/>
    <x v="0"/>
    <n v="963.04000000000008"/>
    <n v="3900"/>
    <n v="16"/>
    <n v="555"/>
  </r>
  <r>
    <x v="2"/>
    <x v="0"/>
    <x v="7"/>
    <x v="0"/>
    <n v="963.04000000000008"/>
    <n v="3900"/>
    <n v="16"/>
    <n v="555"/>
  </r>
  <r>
    <x v="2"/>
    <x v="0"/>
    <x v="8"/>
    <x v="1"/>
    <n v="893"/>
    <n v="2400"/>
    <n v="12"/>
    <n v="390"/>
  </r>
  <r>
    <x v="2"/>
    <x v="0"/>
    <x v="9"/>
    <x v="0"/>
    <n v="963.04000000000008"/>
    <n v="3900"/>
    <n v="16"/>
    <n v="555"/>
  </r>
  <r>
    <x v="2"/>
    <x v="0"/>
    <x v="10"/>
    <x v="0"/>
    <n v="963.04000000000008"/>
    <n v="3900"/>
    <n v="16"/>
    <n v="555"/>
  </r>
  <r>
    <x v="3"/>
    <x v="0"/>
    <x v="11"/>
    <x v="0"/>
    <n v="963.04000000000008"/>
    <n v="3900"/>
    <n v="16"/>
    <n v="555"/>
  </r>
  <r>
    <x v="3"/>
    <x v="0"/>
    <x v="11"/>
    <x v="0"/>
    <n v="963.04000000000008"/>
    <n v="3900"/>
    <n v="16"/>
    <n v="555"/>
  </r>
  <r>
    <x v="3"/>
    <x v="0"/>
    <x v="11"/>
    <x v="0"/>
    <n v="963.04000000000008"/>
    <n v="3900"/>
    <n v="16"/>
    <n v="555"/>
  </r>
  <r>
    <x v="4"/>
    <x v="1"/>
    <x v="12"/>
    <x v="2"/>
    <n v="901.92400000000009"/>
    <n v="1900"/>
    <n v="11"/>
    <n v="314"/>
  </r>
  <r>
    <x v="4"/>
    <x v="1"/>
    <x v="12"/>
    <x v="2"/>
    <n v="901.92400000000009"/>
    <n v="1900"/>
    <n v="11"/>
    <n v="314"/>
  </r>
  <r>
    <x v="4"/>
    <x v="1"/>
    <x v="13"/>
    <x v="2"/>
    <n v="901.92400000000009"/>
    <n v="1900"/>
    <n v="11"/>
    <n v="314"/>
  </r>
  <r>
    <x v="4"/>
    <x v="1"/>
    <x v="14"/>
    <x v="3"/>
    <n v="905"/>
    <n v="2450"/>
    <n v="11"/>
    <n v="305"/>
  </r>
  <r>
    <x v="4"/>
    <x v="1"/>
    <x v="12"/>
    <x v="2"/>
    <n v="901.92400000000009"/>
    <n v="1900"/>
    <n v="11"/>
    <n v="314"/>
  </r>
  <r>
    <x v="4"/>
    <x v="1"/>
    <x v="13"/>
    <x v="2"/>
    <n v="901.92400000000009"/>
    <n v="1900"/>
    <n v="11"/>
    <n v="314"/>
  </r>
  <r>
    <x v="4"/>
    <x v="1"/>
    <x v="15"/>
    <x v="3"/>
    <n v="905"/>
    <n v="2450"/>
    <n v="11"/>
    <n v="305"/>
  </r>
  <r>
    <x v="4"/>
    <x v="1"/>
    <x v="13"/>
    <x v="2"/>
    <n v="901.92400000000009"/>
    <n v="1900"/>
    <n v="11"/>
    <n v="314"/>
  </r>
  <r>
    <x v="4"/>
    <x v="1"/>
    <x v="16"/>
    <x v="3"/>
    <n v="905"/>
    <n v="2450"/>
    <n v="11"/>
    <n v="305"/>
  </r>
  <r>
    <x v="4"/>
    <x v="1"/>
    <x v="17"/>
    <x v="3"/>
    <n v="905"/>
    <n v="2450"/>
    <n v="11"/>
    <n v="305"/>
  </r>
  <r>
    <x v="5"/>
    <x v="2"/>
    <x v="18"/>
    <x v="1"/>
    <n v="893"/>
    <n v="2400"/>
    <n v="12"/>
    <n v="390"/>
  </r>
  <r>
    <x v="5"/>
    <x v="2"/>
    <x v="19"/>
    <x v="0"/>
    <n v="963.04000000000008"/>
    <n v="3900"/>
    <n v="16"/>
    <n v="555"/>
  </r>
  <r>
    <x v="5"/>
    <x v="2"/>
    <x v="20"/>
    <x v="1"/>
    <n v="893"/>
    <n v="2400"/>
    <n v="12"/>
    <n v="390"/>
  </r>
  <r>
    <x v="5"/>
    <x v="3"/>
    <x v="21"/>
    <x v="1"/>
    <n v="893"/>
    <n v="2400"/>
    <n v="12"/>
    <n v="390"/>
  </r>
  <r>
    <x v="5"/>
    <x v="2"/>
    <x v="22"/>
    <x v="0"/>
    <n v="963.04000000000008"/>
    <n v="3900"/>
    <n v="16"/>
    <n v="555"/>
  </r>
  <r>
    <x v="5"/>
    <x v="3"/>
    <x v="23"/>
    <x v="4"/>
    <n v="907.48"/>
    <n v="1750"/>
    <n v="9"/>
    <n v="230"/>
  </r>
  <r>
    <x v="5"/>
    <x v="2"/>
    <x v="18"/>
    <x v="1"/>
    <n v="893"/>
    <n v="2400"/>
    <n v="12"/>
    <n v="390"/>
  </r>
  <r>
    <x v="5"/>
    <x v="2"/>
    <x v="19"/>
    <x v="0"/>
    <n v="963.04000000000008"/>
    <n v="3900"/>
    <n v="16"/>
    <n v="555"/>
  </r>
  <r>
    <x v="5"/>
    <x v="2"/>
    <x v="20"/>
    <x v="1"/>
    <n v="893"/>
    <n v="2400"/>
    <n v="12"/>
    <n v="390"/>
  </r>
  <r>
    <x v="5"/>
    <x v="3"/>
    <x v="21"/>
    <x v="1"/>
    <n v="893"/>
    <n v="2400"/>
    <n v="12"/>
    <n v="390"/>
  </r>
  <r>
    <x v="5"/>
    <x v="2"/>
    <x v="22"/>
    <x v="0"/>
    <n v="963.04000000000008"/>
    <n v="3900"/>
    <n v="16"/>
    <n v="555"/>
  </r>
  <r>
    <x v="5"/>
    <x v="3"/>
    <x v="23"/>
    <x v="4"/>
    <n v="907.48"/>
    <n v="1750"/>
    <n v="9"/>
    <n v="230"/>
  </r>
  <r>
    <x v="5"/>
    <x v="2"/>
    <x v="18"/>
    <x v="1"/>
    <n v="893"/>
    <n v="2400"/>
    <n v="12"/>
    <n v="390"/>
  </r>
  <r>
    <x v="5"/>
    <x v="2"/>
    <x v="19"/>
    <x v="0"/>
    <n v="963.04000000000008"/>
    <n v="3900"/>
    <n v="16"/>
    <n v="555"/>
  </r>
  <r>
    <x v="5"/>
    <x v="2"/>
    <x v="20"/>
    <x v="1"/>
    <n v="893"/>
    <n v="2400"/>
    <n v="12"/>
    <n v="390"/>
  </r>
  <r>
    <x v="5"/>
    <x v="3"/>
    <x v="21"/>
    <x v="1"/>
    <n v="893"/>
    <n v="2400"/>
    <n v="12"/>
    <n v="390"/>
  </r>
  <r>
    <x v="5"/>
    <x v="2"/>
    <x v="22"/>
    <x v="0"/>
    <n v="963.04000000000008"/>
    <n v="3900"/>
    <n v="16"/>
    <n v="555"/>
  </r>
  <r>
    <x v="5"/>
    <x v="3"/>
    <x v="23"/>
    <x v="4"/>
    <n v="907.48"/>
    <n v="1750"/>
    <n v="9"/>
    <n v="230"/>
  </r>
  <r>
    <x v="6"/>
    <x v="0"/>
    <x v="24"/>
    <x v="1"/>
    <n v="893"/>
    <n v="2400"/>
    <n v="12"/>
    <n v="390"/>
  </r>
  <r>
    <x v="6"/>
    <x v="0"/>
    <x v="25"/>
    <x v="0"/>
    <n v="963.04000000000008"/>
    <n v="3900"/>
    <n v="16"/>
    <n v="555"/>
  </r>
  <r>
    <x v="6"/>
    <x v="0"/>
    <x v="26"/>
    <x v="1"/>
    <n v="893"/>
    <n v="2400"/>
    <n v="12"/>
    <n v="390"/>
  </r>
  <r>
    <x v="6"/>
    <x v="0"/>
    <x v="27"/>
    <x v="2"/>
    <n v="901.92400000000009"/>
    <n v="1900"/>
    <n v="11"/>
    <n v="314"/>
  </r>
  <r>
    <x v="6"/>
    <x v="0"/>
    <x v="28"/>
    <x v="1"/>
    <n v="893"/>
    <n v="2400"/>
    <n v="12"/>
    <n v="390"/>
  </r>
  <r>
    <x v="6"/>
    <x v="4"/>
    <x v="29"/>
    <x v="5"/>
    <n v="913"/>
    <n v="1750"/>
    <n v="9"/>
    <n v="230"/>
  </r>
  <r>
    <x v="6"/>
    <x v="0"/>
    <x v="24"/>
    <x v="1"/>
    <n v="893"/>
    <n v="2400"/>
    <n v="12"/>
    <n v="390"/>
  </r>
  <r>
    <x v="6"/>
    <x v="0"/>
    <x v="25"/>
    <x v="0"/>
    <n v="963.04000000000008"/>
    <n v="3900"/>
    <n v="16"/>
    <n v="555"/>
  </r>
  <r>
    <x v="6"/>
    <x v="0"/>
    <x v="26"/>
    <x v="1"/>
    <n v="893"/>
    <n v="2400"/>
    <n v="12"/>
    <n v="390"/>
  </r>
  <r>
    <x v="6"/>
    <x v="0"/>
    <x v="27"/>
    <x v="2"/>
    <n v="901.92400000000009"/>
    <n v="1900"/>
    <n v="11"/>
    <n v="314"/>
  </r>
  <r>
    <x v="6"/>
    <x v="0"/>
    <x v="28"/>
    <x v="1"/>
    <n v="893"/>
    <n v="2400"/>
    <n v="12"/>
    <n v="390"/>
  </r>
  <r>
    <x v="6"/>
    <x v="4"/>
    <x v="29"/>
    <x v="5"/>
    <n v="913"/>
    <n v="1750"/>
    <n v="9"/>
    <n v="230"/>
  </r>
  <r>
    <x v="6"/>
    <x v="0"/>
    <x v="24"/>
    <x v="1"/>
    <n v="893"/>
    <n v="2400"/>
    <n v="12"/>
    <n v="390"/>
  </r>
  <r>
    <x v="6"/>
    <x v="0"/>
    <x v="25"/>
    <x v="0"/>
    <n v="963.04000000000008"/>
    <n v="3900"/>
    <n v="16"/>
    <n v="555"/>
  </r>
  <r>
    <x v="6"/>
    <x v="0"/>
    <x v="26"/>
    <x v="1"/>
    <n v="893"/>
    <n v="2400"/>
    <n v="12"/>
    <n v="390"/>
  </r>
  <r>
    <x v="6"/>
    <x v="0"/>
    <x v="27"/>
    <x v="2"/>
    <n v="901.92400000000009"/>
    <n v="1900"/>
    <n v="11"/>
    <n v="314"/>
  </r>
  <r>
    <x v="6"/>
    <x v="0"/>
    <x v="28"/>
    <x v="1"/>
    <n v="893"/>
    <n v="2400"/>
    <n v="12"/>
    <n v="390"/>
  </r>
  <r>
    <x v="6"/>
    <x v="4"/>
    <x v="29"/>
    <x v="5"/>
    <n v="913"/>
    <n v="1750"/>
    <n v="9"/>
    <n v="230"/>
  </r>
  <r>
    <x v="7"/>
    <x v="0"/>
    <x v="30"/>
    <x v="0"/>
    <n v="963.04000000000008"/>
    <n v="3900"/>
    <n v="16"/>
    <n v="555"/>
  </r>
  <r>
    <x v="7"/>
    <x v="0"/>
    <x v="30"/>
    <x v="0"/>
    <n v="963.04000000000008"/>
    <n v="3900"/>
    <n v="16"/>
    <n v="555"/>
  </r>
  <r>
    <x v="7"/>
    <x v="0"/>
    <x v="30"/>
    <x v="0"/>
    <n v="963.04000000000008"/>
    <n v="3900"/>
    <n v="16"/>
    <n v="555"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  <r>
    <x v="8"/>
    <x v="5"/>
    <x v="31"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1F22B-F8C1-42CC-A35B-595EC794AD5F}" name="数据透视表2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>
  <location ref="A3:E80" firstHeaderRow="0" firstDataRow="1" firstDataCol="1"/>
  <pivotFields count="7">
    <pivotField axis="axisRow" showAll="0">
      <items count="10">
        <item x="2"/>
        <item x="6"/>
        <item x="4"/>
        <item x="3"/>
        <item x="1"/>
        <item x="7"/>
        <item x="0"/>
        <item x="5"/>
        <item x="8"/>
        <item t="default"/>
      </items>
    </pivotField>
    <pivotField axis="axisRow" showAll="0">
      <items count="9">
        <item x="2"/>
        <item x="6"/>
        <item x="5"/>
        <item x="0"/>
        <item x="3"/>
        <item x="1"/>
        <item x="4"/>
        <item x="7"/>
        <item t="default"/>
      </items>
    </pivotField>
    <pivotField axis="axisRow" showAll="0">
      <items count="16">
        <item x="6"/>
        <item x="4"/>
        <item x="10"/>
        <item x="8"/>
        <item x="13"/>
        <item x="3"/>
        <item x="0"/>
        <item x="5"/>
        <item x="9"/>
        <item x="7"/>
        <item x="1"/>
        <item x="2"/>
        <item x="12"/>
        <item x="11"/>
        <item x="14"/>
        <item t="default"/>
      </items>
    </pivotField>
    <pivotField dataField="1" showAll="0"/>
    <pivotField dataField="1" showAll="0"/>
    <pivotField dataField="1" showAll="0"/>
    <pivotField dataField="1" showAll="0"/>
  </pivotFields>
  <rowFields count="3">
    <field x="0"/>
    <field x="1"/>
    <field x="2"/>
  </rowFields>
  <rowItems count="77">
    <i>
      <x/>
    </i>
    <i r="1">
      <x v="3"/>
    </i>
    <i r="2">
      <x v="6"/>
    </i>
    <i r="2">
      <x v="10"/>
    </i>
    <i>
      <x v="1"/>
    </i>
    <i r="1">
      <x/>
    </i>
    <i r="2">
      <x v="12"/>
    </i>
    <i r="1">
      <x v="3"/>
    </i>
    <i r="2">
      <x v="5"/>
    </i>
    <i r="2">
      <x v="6"/>
    </i>
    <i r="2">
      <x v="10"/>
    </i>
    <i>
      <x v="2"/>
    </i>
    <i r="1">
      <x v="4"/>
    </i>
    <i r="2">
      <x/>
    </i>
    <i r="2">
      <x v="2"/>
    </i>
    <i r="2">
      <x v="5"/>
    </i>
    <i r="2">
      <x v="9"/>
    </i>
    <i>
      <x v="3"/>
    </i>
    <i r="1">
      <x/>
    </i>
    <i r="2">
      <x v="1"/>
    </i>
    <i r="1">
      <x v="2"/>
    </i>
    <i r="2">
      <x v="3"/>
    </i>
    <i r="1">
      <x v="3"/>
    </i>
    <i r="2">
      <x v="6"/>
    </i>
    <i r="2">
      <x v="9"/>
    </i>
    <i r="2">
      <x v="10"/>
    </i>
    <i r="1">
      <x v="4"/>
    </i>
    <i r="2">
      <x/>
    </i>
    <i r="2">
      <x v="10"/>
    </i>
    <i r="1">
      <x v="5"/>
    </i>
    <i r="2">
      <x v="5"/>
    </i>
    <i r="2">
      <x v="8"/>
    </i>
    <i r="1">
      <x v="6"/>
    </i>
    <i r="2">
      <x/>
    </i>
    <i r="2">
      <x v="10"/>
    </i>
    <i>
      <x v="4"/>
    </i>
    <i r="1">
      <x v="3"/>
    </i>
    <i r="2">
      <x v="6"/>
    </i>
    <i>
      <x v="5"/>
    </i>
    <i r="1">
      <x v="2"/>
    </i>
    <i r="2">
      <x v="5"/>
    </i>
    <i r="1">
      <x v="3"/>
    </i>
    <i r="2">
      <x v="5"/>
    </i>
    <i r="2">
      <x v="6"/>
    </i>
    <i r="2">
      <x v="10"/>
    </i>
    <i r="1">
      <x v="4"/>
    </i>
    <i r="2">
      <x v="4"/>
    </i>
    <i r="1">
      <x v="5"/>
    </i>
    <i r="2">
      <x v="5"/>
    </i>
    <i r="2">
      <x v="6"/>
    </i>
    <i r="1">
      <x v="6"/>
    </i>
    <i r="2">
      <x v="5"/>
    </i>
    <i>
      <x v="6"/>
    </i>
    <i r="1">
      <x/>
    </i>
    <i r="2">
      <x v="1"/>
    </i>
    <i r="1">
      <x v="3"/>
    </i>
    <i r="2">
      <x v="6"/>
    </i>
    <i r="2">
      <x v="10"/>
    </i>
    <i r="1">
      <x v="4"/>
    </i>
    <i r="2">
      <x v="5"/>
    </i>
    <i r="1">
      <x v="5"/>
    </i>
    <i r="2">
      <x v="5"/>
    </i>
    <i r="2">
      <x v="7"/>
    </i>
    <i r="2">
      <x v="11"/>
    </i>
    <i r="1">
      <x v="6"/>
    </i>
    <i r="2">
      <x/>
    </i>
    <i r="2">
      <x v="5"/>
    </i>
    <i>
      <x v="7"/>
    </i>
    <i r="1">
      <x v="1"/>
    </i>
    <i r="2">
      <x v="10"/>
    </i>
    <i r="2">
      <x v="13"/>
    </i>
    <i r="1">
      <x v="5"/>
    </i>
    <i r="2">
      <x v="6"/>
    </i>
    <i r="2">
      <x v="10"/>
    </i>
    <i>
      <x v="8"/>
    </i>
    <i r="1">
      <x v="7"/>
    </i>
    <i r="2">
      <x v="14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 cruise_speed_kmh" fld="3" subtotal="average" baseField="1" baseItem="0"/>
    <dataField name="平均值项: fuel_burn_gal_per_hr" fld="4" subtotal="average" baseField="1" baseItem="0"/>
    <dataField name="平均值项: standard_crew_size" fld="5" subtotal="average" baseField="0" baseItem="0"/>
    <dataField name="平均值项: max_pax_capacity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37B0A-65C7-40B2-A4EE-086F9CA825D5}" name="数据透视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56" firstHeaderRow="1" firstDataRow="1" firstDataCol="1"/>
  <pivotFields count="8">
    <pivotField axis="axisRow" showAll="0">
      <items count="10">
        <item x="2"/>
        <item x="6"/>
        <item x="4"/>
        <item x="3"/>
        <item x="1"/>
        <item x="7"/>
        <item x="0"/>
        <item x="5"/>
        <item x="8"/>
        <item t="default"/>
      </items>
    </pivotField>
    <pivotField axis="axisRow" showAll="0">
      <items count="7">
        <item x="4"/>
        <item x="3"/>
        <item x="0"/>
        <item x="1"/>
        <item x="2"/>
        <item x="5"/>
        <item t="default"/>
      </items>
    </pivotField>
    <pivotField axis="axisRow" showAll="0">
      <items count="33">
        <item x="17"/>
        <item x="16"/>
        <item x="29"/>
        <item x="21"/>
        <item x="23"/>
        <item x="14"/>
        <item x="15"/>
        <item x="13"/>
        <item x="12"/>
        <item x="20"/>
        <item x="19"/>
        <item x="18"/>
        <item x="22"/>
        <item x="6"/>
        <item x="5"/>
        <item x="0"/>
        <item x="1"/>
        <item x="8"/>
        <item x="10"/>
        <item x="7"/>
        <item x="11"/>
        <item x="9"/>
        <item x="4"/>
        <item x="30"/>
        <item x="25"/>
        <item x="27"/>
        <item x="24"/>
        <item x="28"/>
        <item x="26"/>
        <item x="3"/>
        <item x="2"/>
        <item x="31"/>
        <item t="default"/>
      </items>
    </pivotField>
    <pivotField showAll="0">
      <items count="8">
        <item x="2"/>
        <item x="0"/>
        <item x="3"/>
        <item x="1"/>
        <item x="5"/>
        <item x="4"/>
        <item x="6"/>
        <item t="default"/>
      </items>
    </pivotField>
    <pivotField showAll="0"/>
    <pivotField showAll="0"/>
    <pivotField showAll="0"/>
    <pivotField showAll="0"/>
  </pivotFields>
  <rowFields count="3">
    <field x="0"/>
    <field x="1"/>
    <field x="2"/>
  </rowFields>
  <rowItems count="53">
    <i>
      <x/>
    </i>
    <i r="1">
      <x v="2"/>
    </i>
    <i r="2">
      <x v="17"/>
    </i>
    <i r="2">
      <x v="18"/>
    </i>
    <i r="2">
      <x v="19"/>
    </i>
    <i r="2">
      <x v="21"/>
    </i>
    <i>
      <x v="1"/>
    </i>
    <i r="1">
      <x/>
    </i>
    <i r="2">
      <x v="2"/>
    </i>
    <i r="1">
      <x v="2"/>
    </i>
    <i r="2">
      <x v="24"/>
    </i>
    <i r="2">
      <x v="25"/>
    </i>
    <i r="2">
      <x v="26"/>
    </i>
    <i r="2">
      <x v="27"/>
    </i>
    <i r="2">
      <x v="28"/>
    </i>
    <i>
      <x v="2"/>
    </i>
    <i r="1">
      <x v="3"/>
    </i>
    <i r="2">
      <x/>
    </i>
    <i r="2">
      <x v="1"/>
    </i>
    <i r="2">
      <x v="5"/>
    </i>
    <i r="2">
      <x v="6"/>
    </i>
    <i r="2">
      <x v="7"/>
    </i>
    <i r="2">
      <x v="8"/>
    </i>
    <i>
      <x v="3"/>
    </i>
    <i r="1">
      <x v="2"/>
    </i>
    <i r="2">
      <x v="20"/>
    </i>
    <i>
      <x v="4"/>
    </i>
    <i r="1">
      <x v="2"/>
    </i>
    <i r="2">
      <x v="13"/>
    </i>
    <i r="2">
      <x v="14"/>
    </i>
    <i r="2">
      <x v="22"/>
    </i>
    <i r="2">
      <x v="29"/>
    </i>
    <i r="2">
      <x v="30"/>
    </i>
    <i>
      <x v="5"/>
    </i>
    <i r="1">
      <x v="2"/>
    </i>
    <i r="2">
      <x v="23"/>
    </i>
    <i>
      <x v="6"/>
    </i>
    <i r="1">
      <x v="2"/>
    </i>
    <i r="2">
      <x v="15"/>
    </i>
    <i r="2">
      <x v="16"/>
    </i>
    <i>
      <x v="7"/>
    </i>
    <i r="1">
      <x v="1"/>
    </i>
    <i r="2">
      <x v="3"/>
    </i>
    <i r="2">
      <x v="4"/>
    </i>
    <i r="1">
      <x v="4"/>
    </i>
    <i r="2">
      <x v="9"/>
    </i>
    <i r="2">
      <x v="10"/>
    </i>
    <i r="2">
      <x v="11"/>
    </i>
    <i r="2">
      <x v="12"/>
    </i>
    <i>
      <x v="8"/>
    </i>
    <i r="1">
      <x v="5"/>
    </i>
    <i r="2">
      <x v="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A2A7-E7AF-43F4-84D9-B0468EE38629}">
  <dimension ref="A3:E80"/>
  <sheetViews>
    <sheetView zoomScale="97" workbookViewId="0">
      <selection activeCell="A6" sqref="A6:A7"/>
    </sheetView>
  </sheetViews>
  <sheetFormatPr defaultRowHeight="13.8" x14ac:dyDescent="0.25"/>
  <cols>
    <col min="1" max="1" width="42.21875" bestFit="1" customWidth="1"/>
    <col min="2" max="2" width="28.6640625" bestFit="1" customWidth="1"/>
    <col min="3" max="3" width="31.33203125" bestFit="1" customWidth="1"/>
    <col min="4" max="4" width="29.77734375" bestFit="1" customWidth="1"/>
    <col min="5" max="5" width="28" bestFit="1" customWidth="1"/>
    <col min="6" max="6" width="28.6640625" bestFit="1" customWidth="1"/>
    <col min="7" max="7" width="31.33203125" bestFit="1" customWidth="1"/>
    <col min="8" max="8" width="28.6640625" bestFit="1" customWidth="1"/>
    <col min="9" max="9" width="31.33203125" bestFit="1" customWidth="1"/>
    <col min="10" max="10" width="28.6640625" bestFit="1" customWidth="1"/>
    <col min="11" max="11" width="31.33203125" bestFit="1" customWidth="1"/>
    <col min="12" max="12" width="28.6640625" bestFit="1" customWidth="1"/>
    <col min="13" max="13" width="31.33203125" bestFit="1" customWidth="1"/>
    <col min="14" max="14" width="28.6640625" bestFit="1" customWidth="1"/>
    <col min="15" max="15" width="31.33203125" bestFit="1" customWidth="1"/>
    <col min="16" max="16" width="28.6640625" bestFit="1" customWidth="1"/>
    <col min="17" max="17" width="31.33203125" bestFit="1" customWidth="1"/>
    <col min="18" max="18" width="28.6640625" bestFit="1" customWidth="1"/>
    <col min="19" max="19" width="31.33203125" bestFit="1" customWidth="1"/>
    <col min="20" max="20" width="33" bestFit="1" customWidth="1"/>
    <col min="21" max="21" width="35.6640625" bestFit="1" customWidth="1"/>
  </cols>
  <sheetData>
    <row r="3" spans="1:5" x14ac:dyDescent="0.25">
      <c r="A3" s="7" t="s">
        <v>33</v>
      </c>
      <c r="B3" t="s">
        <v>39</v>
      </c>
      <c r="C3" t="s">
        <v>40</v>
      </c>
      <c r="D3" t="s">
        <v>41</v>
      </c>
      <c r="E3" t="s">
        <v>42</v>
      </c>
    </row>
    <row r="4" spans="1:5" x14ac:dyDescent="0.25">
      <c r="A4" s="8" t="s">
        <v>17</v>
      </c>
      <c r="B4">
        <v>945.53000000000009</v>
      </c>
      <c r="C4">
        <v>3525</v>
      </c>
      <c r="D4">
        <v>15</v>
      </c>
      <c r="E4">
        <v>513.75</v>
      </c>
    </row>
    <row r="5" spans="1:5" x14ac:dyDescent="0.25">
      <c r="A5" s="9" t="s">
        <v>4</v>
      </c>
      <c r="B5">
        <v>945.53000000000009</v>
      </c>
      <c r="C5">
        <v>3525</v>
      </c>
      <c r="D5">
        <v>15</v>
      </c>
      <c r="E5">
        <v>513.75</v>
      </c>
    </row>
    <row r="6" spans="1:5" x14ac:dyDescent="0.25">
      <c r="A6" s="12" t="s">
        <v>5</v>
      </c>
      <c r="B6">
        <v>963.04000000000008</v>
      </c>
      <c r="C6">
        <v>3900</v>
      </c>
      <c r="D6">
        <v>16</v>
      </c>
      <c r="E6">
        <v>555</v>
      </c>
    </row>
    <row r="7" spans="1:5" x14ac:dyDescent="0.25">
      <c r="A7" s="12" t="s">
        <v>6</v>
      </c>
      <c r="B7">
        <v>893</v>
      </c>
      <c r="C7">
        <v>2400</v>
      </c>
      <c r="D7">
        <v>12</v>
      </c>
      <c r="E7">
        <v>390</v>
      </c>
    </row>
    <row r="8" spans="1:5" x14ac:dyDescent="0.25">
      <c r="A8" s="8" t="s">
        <v>28</v>
      </c>
      <c r="B8">
        <v>909.49400000000003</v>
      </c>
      <c r="C8">
        <v>2458.3333333333335</v>
      </c>
      <c r="D8">
        <v>12</v>
      </c>
      <c r="E8">
        <v>378.16666666666669</v>
      </c>
    </row>
    <row r="9" spans="1:5" x14ac:dyDescent="0.25">
      <c r="A9" s="9" t="s">
        <v>10</v>
      </c>
      <c r="B9">
        <v>913</v>
      </c>
      <c r="C9">
        <v>1750</v>
      </c>
      <c r="D9">
        <v>9</v>
      </c>
      <c r="E9">
        <v>230</v>
      </c>
    </row>
    <row r="10" spans="1:5" x14ac:dyDescent="0.25">
      <c r="A10" s="12" t="s">
        <v>29</v>
      </c>
      <c r="B10">
        <v>913</v>
      </c>
      <c r="C10">
        <v>1750</v>
      </c>
      <c r="D10">
        <v>9</v>
      </c>
      <c r="E10">
        <v>230</v>
      </c>
    </row>
    <row r="11" spans="1:5" x14ac:dyDescent="0.25">
      <c r="A11" s="9" t="s">
        <v>4</v>
      </c>
      <c r="B11">
        <v>908.79279999999994</v>
      </c>
      <c r="C11">
        <v>2600</v>
      </c>
      <c r="D11">
        <v>12.6</v>
      </c>
      <c r="E11">
        <v>407.8</v>
      </c>
    </row>
    <row r="12" spans="1:5" x14ac:dyDescent="0.25">
      <c r="A12" s="12" t="s">
        <v>9</v>
      </c>
      <c r="B12">
        <v>901.92400000000009</v>
      </c>
      <c r="C12">
        <v>1900</v>
      </c>
      <c r="D12">
        <v>11</v>
      </c>
      <c r="E12">
        <v>314</v>
      </c>
    </row>
    <row r="13" spans="1:5" x14ac:dyDescent="0.25">
      <c r="A13" s="12" t="s">
        <v>5</v>
      </c>
      <c r="B13">
        <v>963.04000000000008</v>
      </c>
      <c r="C13">
        <v>3900</v>
      </c>
      <c r="D13">
        <v>16</v>
      </c>
      <c r="E13">
        <v>555</v>
      </c>
    </row>
    <row r="14" spans="1:5" x14ac:dyDescent="0.25">
      <c r="A14" s="12" t="s">
        <v>6</v>
      </c>
      <c r="B14">
        <v>893</v>
      </c>
      <c r="C14">
        <v>2400</v>
      </c>
      <c r="D14">
        <v>12</v>
      </c>
      <c r="E14">
        <v>390</v>
      </c>
    </row>
    <row r="15" spans="1:5" x14ac:dyDescent="0.25">
      <c r="A15" s="8" t="s">
        <v>23</v>
      </c>
      <c r="B15">
        <v>883.4130909090909</v>
      </c>
      <c r="C15">
        <v>1675.090909090909</v>
      </c>
      <c r="D15">
        <v>10.090909090909092</v>
      </c>
      <c r="E15">
        <v>274.18181818181819</v>
      </c>
    </row>
    <row r="16" spans="1:5" x14ac:dyDescent="0.25">
      <c r="A16" s="9" t="s">
        <v>12</v>
      </c>
      <c r="B16">
        <v>883.4130909090909</v>
      </c>
      <c r="C16">
        <v>1675.090909090909</v>
      </c>
      <c r="D16">
        <v>10.090909090909092</v>
      </c>
      <c r="E16">
        <v>274.18181818181819</v>
      </c>
    </row>
    <row r="17" spans="1:5" x14ac:dyDescent="0.25">
      <c r="A17" s="12" t="s">
        <v>15</v>
      </c>
      <c r="B17">
        <v>840</v>
      </c>
      <c r="C17">
        <v>826</v>
      </c>
      <c r="D17">
        <v>7</v>
      </c>
      <c r="E17">
        <v>150</v>
      </c>
    </row>
    <row r="18" spans="1:5" x14ac:dyDescent="0.25">
      <c r="A18" s="12" t="s">
        <v>24</v>
      </c>
      <c r="B18">
        <v>828</v>
      </c>
      <c r="C18">
        <v>650</v>
      </c>
      <c r="D18">
        <v>8</v>
      </c>
      <c r="E18">
        <v>186</v>
      </c>
    </row>
    <row r="19" spans="1:5" x14ac:dyDescent="0.25">
      <c r="A19" s="12" t="s">
        <v>9</v>
      </c>
      <c r="B19">
        <v>901.92400000000009</v>
      </c>
      <c r="C19">
        <v>1900</v>
      </c>
      <c r="D19">
        <v>11</v>
      </c>
      <c r="E19">
        <v>314</v>
      </c>
    </row>
    <row r="20" spans="1:5" x14ac:dyDescent="0.25">
      <c r="A20" s="12" t="s">
        <v>19</v>
      </c>
      <c r="B20">
        <v>905</v>
      </c>
      <c r="C20">
        <v>2450</v>
      </c>
      <c r="D20">
        <v>11</v>
      </c>
      <c r="E20">
        <v>305</v>
      </c>
    </row>
    <row r="21" spans="1:5" x14ac:dyDescent="0.25">
      <c r="A21" s="8" t="s">
        <v>18</v>
      </c>
      <c r="B21">
        <v>908.32927272727284</v>
      </c>
      <c r="C21">
        <v>2688.7272727272725</v>
      </c>
      <c r="D21">
        <v>12.590909090909092</v>
      </c>
      <c r="E21">
        <v>401.40909090909093</v>
      </c>
    </row>
    <row r="22" spans="1:5" x14ac:dyDescent="0.25">
      <c r="A22" s="9" t="s">
        <v>10</v>
      </c>
      <c r="B22">
        <v>828</v>
      </c>
      <c r="C22">
        <v>950</v>
      </c>
      <c r="D22">
        <v>8</v>
      </c>
      <c r="E22">
        <v>186</v>
      </c>
    </row>
    <row r="23" spans="1:5" x14ac:dyDescent="0.25">
      <c r="A23" s="12" t="s">
        <v>11</v>
      </c>
      <c r="B23">
        <v>828</v>
      </c>
      <c r="C23">
        <v>950</v>
      </c>
      <c r="D23">
        <v>8</v>
      </c>
      <c r="E23">
        <v>186</v>
      </c>
    </row>
    <row r="24" spans="1:5" x14ac:dyDescent="0.25">
      <c r="A24" s="9" t="s">
        <v>20</v>
      </c>
      <c r="B24">
        <v>860</v>
      </c>
      <c r="C24">
        <v>1850</v>
      </c>
      <c r="D24">
        <v>11</v>
      </c>
      <c r="E24">
        <v>335</v>
      </c>
    </row>
    <row r="25" spans="1:5" x14ac:dyDescent="0.25">
      <c r="A25" s="12" t="s">
        <v>21</v>
      </c>
      <c r="B25">
        <v>860</v>
      </c>
      <c r="C25">
        <v>1850</v>
      </c>
      <c r="D25">
        <v>11</v>
      </c>
      <c r="E25">
        <v>335</v>
      </c>
    </row>
    <row r="26" spans="1:5" x14ac:dyDescent="0.25">
      <c r="A26" s="9" t="s">
        <v>4</v>
      </c>
      <c r="B26">
        <v>941.69333333333327</v>
      </c>
      <c r="C26">
        <v>3408.3333333333335</v>
      </c>
      <c r="D26">
        <v>14.5</v>
      </c>
      <c r="E26">
        <v>485.83333333333331</v>
      </c>
    </row>
    <row r="27" spans="1:5" x14ac:dyDescent="0.25">
      <c r="A27" s="12" t="s">
        <v>5</v>
      </c>
      <c r="B27">
        <v>963.04000000000008</v>
      </c>
      <c r="C27">
        <v>3900</v>
      </c>
      <c r="D27">
        <v>16</v>
      </c>
      <c r="E27">
        <v>555</v>
      </c>
    </row>
    <row r="28" spans="1:5" x14ac:dyDescent="0.25">
      <c r="A28" s="12" t="s">
        <v>19</v>
      </c>
      <c r="B28">
        <v>905</v>
      </c>
      <c r="C28">
        <v>2450</v>
      </c>
      <c r="D28">
        <v>11</v>
      </c>
      <c r="E28">
        <v>305</v>
      </c>
    </row>
    <row r="29" spans="1:5" x14ac:dyDescent="0.25">
      <c r="A29" s="12" t="s">
        <v>6</v>
      </c>
      <c r="B29">
        <v>893</v>
      </c>
      <c r="C29">
        <v>2400</v>
      </c>
      <c r="D29">
        <v>12</v>
      </c>
      <c r="E29">
        <v>390</v>
      </c>
    </row>
    <row r="30" spans="1:5" x14ac:dyDescent="0.25">
      <c r="A30" s="9" t="s">
        <v>12</v>
      </c>
      <c r="B30">
        <v>866.5</v>
      </c>
      <c r="C30">
        <v>1613</v>
      </c>
      <c r="D30">
        <v>9.5</v>
      </c>
      <c r="E30">
        <v>270</v>
      </c>
    </row>
    <row r="31" spans="1:5" x14ac:dyDescent="0.25">
      <c r="A31" s="12" t="s">
        <v>15</v>
      </c>
      <c r="B31">
        <v>840</v>
      </c>
      <c r="C31">
        <v>826</v>
      </c>
      <c r="D31">
        <v>7</v>
      </c>
      <c r="E31">
        <v>150</v>
      </c>
    </row>
    <row r="32" spans="1:5" x14ac:dyDescent="0.25">
      <c r="A32" s="12" t="s">
        <v>6</v>
      </c>
      <c r="B32">
        <v>893</v>
      </c>
      <c r="C32">
        <v>2400</v>
      </c>
      <c r="D32">
        <v>12</v>
      </c>
      <c r="E32">
        <v>390</v>
      </c>
    </row>
    <row r="33" spans="1:5" x14ac:dyDescent="0.25">
      <c r="A33" s="9" t="s">
        <v>7</v>
      </c>
      <c r="B33">
        <v>904.46199999999999</v>
      </c>
      <c r="C33">
        <v>2650</v>
      </c>
      <c r="D33">
        <v>12</v>
      </c>
      <c r="E33">
        <v>365</v>
      </c>
    </row>
    <row r="34" spans="1:5" x14ac:dyDescent="0.25">
      <c r="A34" s="12" t="s">
        <v>9</v>
      </c>
      <c r="B34">
        <v>901.92400000000009</v>
      </c>
      <c r="C34">
        <v>1900</v>
      </c>
      <c r="D34">
        <v>11</v>
      </c>
      <c r="E34">
        <v>314</v>
      </c>
    </row>
    <row r="35" spans="1:5" x14ac:dyDescent="0.25">
      <c r="A35" s="12" t="s">
        <v>22</v>
      </c>
      <c r="B35">
        <v>907</v>
      </c>
      <c r="C35">
        <v>3400</v>
      </c>
      <c r="D35">
        <v>13</v>
      </c>
      <c r="E35">
        <v>416</v>
      </c>
    </row>
    <row r="36" spans="1:5" x14ac:dyDescent="0.25">
      <c r="A36" s="9" t="s">
        <v>13</v>
      </c>
      <c r="B36">
        <v>866.5</v>
      </c>
      <c r="C36">
        <v>1613</v>
      </c>
      <c r="D36">
        <v>9.5</v>
      </c>
      <c r="E36">
        <v>270</v>
      </c>
    </row>
    <row r="37" spans="1:5" x14ac:dyDescent="0.25">
      <c r="A37" s="12" t="s">
        <v>15</v>
      </c>
      <c r="B37">
        <v>840</v>
      </c>
      <c r="C37">
        <v>826</v>
      </c>
      <c r="D37">
        <v>7</v>
      </c>
      <c r="E37">
        <v>150</v>
      </c>
    </row>
    <row r="38" spans="1:5" x14ac:dyDescent="0.25">
      <c r="A38" s="12" t="s">
        <v>6</v>
      </c>
      <c r="B38">
        <v>893</v>
      </c>
      <c r="C38">
        <v>2400</v>
      </c>
      <c r="D38">
        <v>12</v>
      </c>
      <c r="E38">
        <v>390</v>
      </c>
    </row>
    <row r="39" spans="1:5" x14ac:dyDescent="0.25">
      <c r="A39" s="8" t="s">
        <v>16</v>
      </c>
      <c r="B39">
        <v>963.04000000000042</v>
      </c>
      <c r="C39">
        <v>3900</v>
      </c>
      <c r="D39">
        <v>16</v>
      </c>
      <c r="E39">
        <v>555</v>
      </c>
    </row>
    <row r="40" spans="1:5" x14ac:dyDescent="0.25">
      <c r="A40" s="9" t="s">
        <v>4</v>
      </c>
      <c r="B40">
        <v>963.04000000000042</v>
      </c>
      <c r="C40">
        <v>3900</v>
      </c>
      <c r="D40">
        <v>16</v>
      </c>
      <c r="E40">
        <v>555</v>
      </c>
    </row>
    <row r="41" spans="1:5" x14ac:dyDescent="0.25">
      <c r="A41" s="12" t="s">
        <v>5</v>
      </c>
      <c r="B41">
        <v>963.04000000000042</v>
      </c>
      <c r="C41">
        <v>3900</v>
      </c>
      <c r="D41">
        <v>16</v>
      </c>
      <c r="E41">
        <v>555</v>
      </c>
    </row>
    <row r="42" spans="1:5" x14ac:dyDescent="0.25">
      <c r="A42" s="8" t="s">
        <v>30</v>
      </c>
      <c r="B42">
        <v>939.33276190476215</v>
      </c>
      <c r="C42">
        <v>3159.5238095238096</v>
      </c>
      <c r="D42">
        <v>14.142857142857142</v>
      </c>
      <c r="E42">
        <v>468.52380952380952</v>
      </c>
    </row>
    <row r="43" spans="1:5" x14ac:dyDescent="0.25">
      <c r="A43" s="9" t="s">
        <v>20</v>
      </c>
      <c r="B43">
        <v>901.92400000000009</v>
      </c>
      <c r="C43">
        <v>1900</v>
      </c>
      <c r="D43">
        <v>11</v>
      </c>
      <c r="E43">
        <v>314</v>
      </c>
    </row>
    <row r="44" spans="1:5" x14ac:dyDescent="0.25">
      <c r="A44" s="12" t="s">
        <v>9</v>
      </c>
      <c r="B44">
        <v>901.92400000000009</v>
      </c>
      <c r="C44">
        <v>1900</v>
      </c>
      <c r="D44">
        <v>11</v>
      </c>
      <c r="E44">
        <v>314</v>
      </c>
    </row>
    <row r="45" spans="1:5" x14ac:dyDescent="0.25">
      <c r="A45" s="9" t="s">
        <v>4</v>
      </c>
      <c r="B45">
        <v>950.22186666666698</v>
      </c>
      <c r="C45">
        <v>3533.3333333333335</v>
      </c>
      <c r="D45">
        <v>15.066666666666666</v>
      </c>
      <c r="E45">
        <v>511.86666666666667</v>
      </c>
    </row>
    <row r="46" spans="1:5" x14ac:dyDescent="0.25">
      <c r="A46" s="12" t="s">
        <v>9</v>
      </c>
      <c r="B46">
        <v>901.92400000000009</v>
      </c>
      <c r="C46">
        <v>1900</v>
      </c>
      <c r="D46">
        <v>11</v>
      </c>
      <c r="E46">
        <v>314</v>
      </c>
    </row>
    <row r="47" spans="1:5" x14ac:dyDescent="0.25">
      <c r="A47" s="12" t="s">
        <v>5</v>
      </c>
      <c r="B47">
        <v>963.0400000000003</v>
      </c>
      <c r="C47">
        <v>3900</v>
      </c>
      <c r="D47">
        <v>16</v>
      </c>
      <c r="E47">
        <v>555</v>
      </c>
    </row>
    <row r="48" spans="1:5" x14ac:dyDescent="0.25">
      <c r="A48" s="12" t="s">
        <v>6</v>
      </c>
      <c r="B48">
        <v>893</v>
      </c>
      <c r="C48">
        <v>2400</v>
      </c>
      <c r="D48">
        <v>12</v>
      </c>
      <c r="E48">
        <v>390</v>
      </c>
    </row>
    <row r="49" spans="1:5" x14ac:dyDescent="0.25">
      <c r="A49" s="9" t="s">
        <v>12</v>
      </c>
      <c r="B49">
        <v>901.92400000000009</v>
      </c>
      <c r="C49">
        <v>1850</v>
      </c>
      <c r="D49">
        <v>11</v>
      </c>
      <c r="E49">
        <v>350</v>
      </c>
    </row>
    <row r="50" spans="1:5" x14ac:dyDescent="0.25">
      <c r="A50" s="12" t="s">
        <v>31</v>
      </c>
      <c r="B50">
        <v>901.92400000000009</v>
      </c>
      <c r="C50">
        <v>1850</v>
      </c>
      <c r="D50">
        <v>11</v>
      </c>
      <c r="E50">
        <v>350</v>
      </c>
    </row>
    <row r="51" spans="1:5" x14ac:dyDescent="0.25">
      <c r="A51" s="9" t="s">
        <v>7</v>
      </c>
      <c r="B51">
        <v>932.48200000000008</v>
      </c>
      <c r="C51">
        <v>2900</v>
      </c>
      <c r="D51">
        <v>13.5</v>
      </c>
      <c r="E51">
        <v>434.5</v>
      </c>
    </row>
    <row r="52" spans="1:5" x14ac:dyDescent="0.25">
      <c r="A52" s="12" t="s">
        <v>9</v>
      </c>
      <c r="B52">
        <v>901.92400000000009</v>
      </c>
      <c r="C52">
        <v>1900</v>
      </c>
      <c r="D52">
        <v>11</v>
      </c>
      <c r="E52">
        <v>314</v>
      </c>
    </row>
    <row r="53" spans="1:5" x14ac:dyDescent="0.25">
      <c r="A53" s="12" t="s">
        <v>5</v>
      </c>
      <c r="B53">
        <v>963.04000000000008</v>
      </c>
      <c r="C53">
        <v>3900</v>
      </c>
      <c r="D53">
        <v>16</v>
      </c>
      <c r="E53">
        <v>555</v>
      </c>
    </row>
    <row r="54" spans="1:5" x14ac:dyDescent="0.25">
      <c r="A54" s="9" t="s">
        <v>13</v>
      </c>
      <c r="B54">
        <v>901.92400000000009</v>
      </c>
      <c r="C54">
        <v>1900</v>
      </c>
      <c r="D54">
        <v>11</v>
      </c>
      <c r="E54">
        <v>314</v>
      </c>
    </row>
    <row r="55" spans="1:5" x14ac:dyDescent="0.25">
      <c r="A55" s="12" t="s">
        <v>9</v>
      </c>
      <c r="B55">
        <v>901.92400000000009</v>
      </c>
      <c r="C55">
        <v>1900</v>
      </c>
      <c r="D55">
        <v>11</v>
      </c>
      <c r="E55">
        <v>314</v>
      </c>
    </row>
    <row r="56" spans="1:5" x14ac:dyDescent="0.25">
      <c r="A56" s="8" t="s">
        <v>3</v>
      </c>
      <c r="B56">
        <v>916.27922580645145</v>
      </c>
      <c r="C56">
        <v>2436.8387096774195</v>
      </c>
      <c r="D56">
        <v>12</v>
      </c>
      <c r="E56">
        <v>372.64516129032256</v>
      </c>
    </row>
    <row r="57" spans="1:5" x14ac:dyDescent="0.25">
      <c r="A57" s="9" t="s">
        <v>10</v>
      </c>
      <c r="B57">
        <v>828</v>
      </c>
      <c r="C57">
        <v>950</v>
      </c>
      <c r="D57">
        <v>8</v>
      </c>
      <c r="E57">
        <v>186</v>
      </c>
    </row>
    <row r="58" spans="1:5" x14ac:dyDescent="0.25">
      <c r="A58" s="12" t="s">
        <v>11</v>
      </c>
      <c r="B58">
        <v>828</v>
      </c>
      <c r="C58">
        <v>950</v>
      </c>
      <c r="D58">
        <v>8</v>
      </c>
      <c r="E58">
        <v>186</v>
      </c>
    </row>
    <row r="59" spans="1:5" x14ac:dyDescent="0.25">
      <c r="A59" s="9" t="s">
        <v>4</v>
      </c>
      <c r="B59">
        <v>934.2</v>
      </c>
      <c r="C59">
        <v>3282.3529411764707</v>
      </c>
      <c r="D59">
        <v>14.352941176470589</v>
      </c>
      <c r="E59">
        <v>487.05882352941177</v>
      </c>
    </row>
    <row r="60" spans="1:5" x14ac:dyDescent="0.25">
      <c r="A60" s="12" t="s">
        <v>5</v>
      </c>
      <c r="B60">
        <v>963.04000000000019</v>
      </c>
      <c r="C60">
        <v>3900</v>
      </c>
      <c r="D60">
        <v>16</v>
      </c>
      <c r="E60">
        <v>555</v>
      </c>
    </row>
    <row r="61" spans="1:5" x14ac:dyDescent="0.25">
      <c r="A61" s="12" t="s">
        <v>6</v>
      </c>
      <c r="B61">
        <v>893</v>
      </c>
      <c r="C61">
        <v>2400</v>
      </c>
      <c r="D61">
        <v>12</v>
      </c>
      <c r="E61">
        <v>390</v>
      </c>
    </row>
    <row r="62" spans="1:5" x14ac:dyDescent="0.25">
      <c r="A62" s="9" t="s">
        <v>12</v>
      </c>
      <c r="B62">
        <v>901.92400000000009</v>
      </c>
      <c r="C62">
        <v>1900</v>
      </c>
      <c r="D62">
        <v>11</v>
      </c>
      <c r="E62">
        <v>314</v>
      </c>
    </row>
    <row r="63" spans="1:5" x14ac:dyDescent="0.25">
      <c r="A63" s="12" t="s">
        <v>9</v>
      </c>
      <c r="B63">
        <v>901.92400000000009</v>
      </c>
      <c r="C63">
        <v>1900</v>
      </c>
      <c r="D63">
        <v>11</v>
      </c>
      <c r="E63">
        <v>314</v>
      </c>
    </row>
    <row r="64" spans="1:5" x14ac:dyDescent="0.25">
      <c r="A64" s="9" t="s">
        <v>7</v>
      </c>
      <c r="B64">
        <v>922.92600000000004</v>
      </c>
      <c r="C64">
        <v>1548.75</v>
      </c>
      <c r="D64">
        <v>9.5</v>
      </c>
      <c r="E64">
        <v>246.5</v>
      </c>
    </row>
    <row r="65" spans="1:5" x14ac:dyDescent="0.25">
      <c r="A65" s="12" t="s">
        <v>9</v>
      </c>
      <c r="B65">
        <v>901.92400000000009</v>
      </c>
      <c r="C65">
        <v>1900</v>
      </c>
      <c r="D65">
        <v>11</v>
      </c>
      <c r="E65">
        <v>314</v>
      </c>
    </row>
    <row r="66" spans="1:5" x14ac:dyDescent="0.25">
      <c r="A66" s="12" t="s">
        <v>14</v>
      </c>
      <c r="B66">
        <v>969.31799999999998</v>
      </c>
      <c r="C66">
        <v>720</v>
      </c>
      <c r="D66">
        <v>8</v>
      </c>
      <c r="E66">
        <v>170</v>
      </c>
    </row>
    <row r="67" spans="1:5" x14ac:dyDescent="0.25">
      <c r="A67" s="12" t="s">
        <v>8</v>
      </c>
      <c r="B67">
        <v>913</v>
      </c>
      <c r="C67">
        <v>1750</v>
      </c>
      <c r="D67">
        <v>9</v>
      </c>
      <c r="E67">
        <v>230</v>
      </c>
    </row>
    <row r="68" spans="1:5" x14ac:dyDescent="0.25">
      <c r="A68" s="9" t="s">
        <v>13</v>
      </c>
      <c r="B68">
        <v>860.64133333333336</v>
      </c>
      <c r="C68">
        <v>1184</v>
      </c>
      <c r="D68">
        <v>8.3333333333333339</v>
      </c>
      <c r="E68">
        <v>204.66666666666666</v>
      </c>
    </row>
    <row r="69" spans="1:5" x14ac:dyDescent="0.25">
      <c r="A69" s="12" t="s">
        <v>15</v>
      </c>
      <c r="B69">
        <v>840</v>
      </c>
      <c r="C69">
        <v>826</v>
      </c>
      <c r="D69">
        <v>7</v>
      </c>
      <c r="E69">
        <v>150</v>
      </c>
    </row>
    <row r="70" spans="1:5" x14ac:dyDescent="0.25">
      <c r="A70" s="12" t="s">
        <v>9</v>
      </c>
      <c r="B70">
        <v>901.92400000000009</v>
      </c>
      <c r="C70">
        <v>1900</v>
      </c>
      <c r="D70">
        <v>11</v>
      </c>
      <c r="E70">
        <v>314</v>
      </c>
    </row>
    <row r="71" spans="1:5" x14ac:dyDescent="0.25">
      <c r="A71" s="8" t="s">
        <v>25</v>
      </c>
      <c r="B71">
        <v>918.76000000000022</v>
      </c>
      <c r="C71">
        <v>2791.6666666666665</v>
      </c>
      <c r="D71">
        <v>12.833333333333334</v>
      </c>
      <c r="E71">
        <v>418.33333333333331</v>
      </c>
    </row>
    <row r="72" spans="1:5" x14ac:dyDescent="0.25">
      <c r="A72" s="9" t="s">
        <v>26</v>
      </c>
      <c r="B72">
        <v>900.24000000000012</v>
      </c>
      <c r="C72">
        <v>2075</v>
      </c>
      <c r="D72">
        <v>10.5</v>
      </c>
      <c r="E72">
        <v>310</v>
      </c>
    </row>
    <row r="73" spans="1:5" x14ac:dyDescent="0.25">
      <c r="A73" s="12" t="s">
        <v>6</v>
      </c>
      <c r="B73">
        <v>893</v>
      </c>
      <c r="C73">
        <v>2400</v>
      </c>
      <c r="D73">
        <v>12</v>
      </c>
      <c r="E73">
        <v>390</v>
      </c>
    </row>
    <row r="74" spans="1:5" x14ac:dyDescent="0.25">
      <c r="A74" s="12" t="s">
        <v>27</v>
      </c>
      <c r="B74">
        <v>907.48</v>
      </c>
      <c r="C74">
        <v>1750</v>
      </c>
      <c r="D74">
        <v>9</v>
      </c>
      <c r="E74">
        <v>230</v>
      </c>
    </row>
    <row r="75" spans="1:5" x14ac:dyDescent="0.25">
      <c r="A75" s="9" t="s">
        <v>7</v>
      </c>
      <c r="B75">
        <v>928.0200000000001</v>
      </c>
      <c r="C75">
        <v>3150</v>
      </c>
      <c r="D75">
        <v>14</v>
      </c>
      <c r="E75">
        <v>472.5</v>
      </c>
    </row>
    <row r="76" spans="1:5" x14ac:dyDescent="0.25">
      <c r="A76" s="12" t="s">
        <v>5</v>
      </c>
      <c r="B76">
        <v>963.04000000000008</v>
      </c>
      <c r="C76">
        <v>3900</v>
      </c>
      <c r="D76">
        <v>16</v>
      </c>
      <c r="E76">
        <v>555</v>
      </c>
    </row>
    <row r="77" spans="1:5" x14ac:dyDescent="0.25">
      <c r="A77" s="12" t="s">
        <v>6</v>
      </c>
      <c r="B77">
        <v>893</v>
      </c>
      <c r="C77">
        <v>2400</v>
      </c>
      <c r="D77">
        <v>12</v>
      </c>
      <c r="E77">
        <v>390</v>
      </c>
    </row>
    <row r="78" spans="1:5" x14ac:dyDescent="0.25">
      <c r="A78" s="8" t="s">
        <v>32</v>
      </c>
    </row>
    <row r="79" spans="1:5" x14ac:dyDescent="0.25">
      <c r="A79" s="9" t="s">
        <v>32</v>
      </c>
    </row>
    <row r="80" spans="1:5" x14ac:dyDescent="0.25">
      <c r="A80" s="12" t="s">
        <v>32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25C9-090B-4F46-88BB-13BE00A0C4BC}">
  <dimension ref="A1:H149"/>
  <sheetViews>
    <sheetView topLeftCell="D1" workbookViewId="0">
      <selection activeCell="E1" sqref="E1:H1048576"/>
    </sheetView>
  </sheetViews>
  <sheetFormatPr defaultRowHeight="13.8" x14ac:dyDescent="0.25"/>
  <cols>
    <col min="2" max="2" width="17.44140625" bestFit="1" customWidth="1"/>
    <col min="3" max="3" width="35.5546875" bestFit="1" customWidth="1"/>
    <col min="4" max="4" width="35.5546875" customWidth="1"/>
    <col min="5" max="5" width="19.33203125" bestFit="1" customWidth="1"/>
    <col min="6" max="6" width="22.109375" bestFit="1" customWidth="1"/>
    <col min="7" max="7" width="20.44140625" bestFit="1" customWidth="1"/>
    <col min="8" max="8" width="18.77734375" bestFit="1" customWidth="1"/>
  </cols>
  <sheetData>
    <row r="1" spans="1:8" s="1" customFormat="1" ht="14.4" thickBot="1" x14ac:dyDescent="0.3">
      <c r="A1" s="1" t="s">
        <v>0</v>
      </c>
      <c r="B1" s="1" t="s">
        <v>1</v>
      </c>
      <c r="C1" s="1" t="s">
        <v>2</v>
      </c>
      <c r="E1" s="11" t="s">
        <v>34</v>
      </c>
      <c r="F1" s="1" t="s">
        <v>38</v>
      </c>
      <c r="G1" s="1" t="s">
        <v>35</v>
      </c>
      <c r="H1" s="1" t="s">
        <v>36</v>
      </c>
    </row>
    <row r="2" spans="1:8" s="3" customFormat="1" x14ac:dyDescent="0.25">
      <c r="A2" s="2" t="s">
        <v>3</v>
      </c>
      <c r="B2" s="3" t="s">
        <v>4</v>
      </c>
      <c r="C2" s="3" t="s">
        <v>5</v>
      </c>
      <c r="D2"/>
      <c r="E2">
        <f>VLOOKUP(C2,机型!A:E,2,0)</f>
        <v>963.04000000000008</v>
      </c>
      <c r="F2">
        <f>VLOOKUP(C2,机型!A:E,3,0)</f>
        <v>3900</v>
      </c>
      <c r="G2">
        <f>VLOOKUP(C2,机型!A:E,4,0)</f>
        <v>16</v>
      </c>
      <c r="H2">
        <f>VLOOKUP(C2,机型!A:E,5,0)</f>
        <v>555</v>
      </c>
    </row>
    <row r="3" spans="1:8" x14ac:dyDescent="0.25">
      <c r="A3" s="4" t="s">
        <v>3</v>
      </c>
      <c r="B3" t="s">
        <v>4</v>
      </c>
      <c r="C3" t="s">
        <v>55</v>
      </c>
      <c r="E3">
        <f>VLOOKUP(C3,机型!A:E,2,0)</f>
        <v>893</v>
      </c>
      <c r="F3">
        <f>VLOOKUP(C3,机型!A:E,3,0)</f>
        <v>2400</v>
      </c>
      <c r="G3">
        <f>VLOOKUP(C3,机型!A:E,4,0)</f>
        <v>12</v>
      </c>
      <c r="H3">
        <f>VLOOKUP(C3,机型!A:E,5,0)</f>
        <v>390</v>
      </c>
    </row>
    <row r="4" spans="1:8" x14ac:dyDescent="0.25">
      <c r="A4" s="4" t="s">
        <v>3</v>
      </c>
      <c r="B4" t="s">
        <v>4</v>
      </c>
      <c r="C4" t="s">
        <v>5</v>
      </c>
      <c r="E4">
        <f>VLOOKUP(C4,机型!A:E,2,0)</f>
        <v>963.04000000000008</v>
      </c>
      <c r="F4">
        <f>VLOOKUP(C4,机型!A:E,3,0)</f>
        <v>3900</v>
      </c>
      <c r="G4">
        <f>VLOOKUP(C4,机型!A:E,4,0)</f>
        <v>16</v>
      </c>
      <c r="H4">
        <f>VLOOKUP(C4,机型!A:E,5,0)</f>
        <v>555</v>
      </c>
    </row>
    <row r="5" spans="1:8" x14ac:dyDescent="0.25">
      <c r="A5" s="4" t="s">
        <v>3</v>
      </c>
      <c r="B5" t="s">
        <v>4</v>
      </c>
      <c r="C5" t="s">
        <v>6</v>
      </c>
      <c r="E5">
        <f>VLOOKUP(C5,机型!A:E,2,0)</f>
        <v>893</v>
      </c>
      <c r="F5">
        <f>VLOOKUP(C5,机型!A:E,3,0)</f>
        <v>2400</v>
      </c>
      <c r="G5">
        <f>VLOOKUP(C5,机型!A:E,4,0)</f>
        <v>12</v>
      </c>
      <c r="H5">
        <f>VLOOKUP(C5,机型!A:E,5,0)</f>
        <v>390</v>
      </c>
    </row>
    <row r="6" spans="1:8" x14ac:dyDescent="0.25">
      <c r="A6" s="4" t="s">
        <v>3</v>
      </c>
      <c r="B6" t="s">
        <v>4</v>
      </c>
      <c r="C6" t="s">
        <v>5</v>
      </c>
      <c r="E6">
        <f>VLOOKUP(C6,机型!A:E,2,0)</f>
        <v>963.04000000000008</v>
      </c>
      <c r="F6">
        <f>VLOOKUP(C6,机型!A:E,3,0)</f>
        <v>3900</v>
      </c>
      <c r="G6">
        <f>VLOOKUP(C6,机型!A:E,4,0)</f>
        <v>16</v>
      </c>
      <c r="H6">
        <f>VLOOKUP(C6,机型!A:E,5,0)</f>
        <v>555</v>
      </c>
    </row>
    <row r="7" spans="1:8" x14ac:dyDescent="0.25">
      <c r="A7" s="4" t="s">
        <v>3</v>
      </c>
      <c r="B7" t="s">
        <v>4</v>
      </c>
      <c r="C7" t="s">
        <v>6</v>
      </c>
      <c r="E7">
        <f>VLOOKUP(C7,机型!A:E,2,0)</f>
        <v>893</v>
      </c>
      <c r="F7">
        <f>VLOOKUP(C7,机型!A:E,3,0)</f>
        <v>2400</v>
      </c>
      <c r="G7">
        <f>VLOOKUP(C7,机型!A:E,4,0)</f>
        <v>12</v>
      </c>
      <c r="H7">
        <f>VLOOKUP(C7,机型!A:E,5,0)</f>
        <v>390</v>
      </c>
    </row>
    <row r="8" spans="1:8" x14ac:dyDescent="0.25">
      <c r="A8" s="4" t="s">
        <v>3</v>
      </c>
      <c r="B8" t="s">
        <v>7</v>
      </c>
      <c r="C8" t="s">
        <v>59</v>
      </c>
      <c r="E8">
        <f>VLOOKUP(C8,机型!A:E,2,0)</f>
        <v>913</v>
      </c>
      <c r="F8">
        <f>VLOOKUP(C8,机型!A:E,3,0)</f>
        <v>1750</v>
      </c>
      <c r="G8">
        <f>VLOOKUP(C8,机型!A:E,4,0)</f>
        <v>9</v>
      </c>
      <c r="H8">
        <f>VLOOKUP(C8,机型!A:E,5,0)</f>
        <v>230</v>
      </c>
    </row>
    <row r="9" spans="1:8" x14ac:dyDescent="0.25">
      <c r="A9" s="4" t="s">
        <v>3</v>
      </c>
      <c r="B9" t="s">
        <v>4</v>
      </c>
      <c r="C9" t="s">
        <v>5</v>
      </c>
      <c r="E9">
        <f>VLOOKUP(C9,机型!A:E,2,0)</f>
        <v>963.04000000000008</v>
      </c>
      <c r="F9">
        <f>VLOOKUP(C9,机型!A:E,3,0)</f>
        <v>3900</v>
      </c>
      <c r="G9">
        <f>VLOOKUP(C9,机型!A:E,4,0)</f>
        <v>16</v>
      </c>
      <c r="H9">
        <f>VLOOKUP(C9,机型!A:E,5,0)</f>
        <v>555</v>
      </c>
    </row>
    <row r="10" spans="1:8" x14ac:dyDescent="0.25">
      <c r="A10" s="4" t="s">
        <v>3</v>
      </c>
      <c r="B10" t="s">
        <v>4</v>
      </c>
      <c r="C10" t="s">
        <v>6</v>
      </c>
      <c r="E10">
        <f>VLOOKUP(C10,机型!A:E,2,0)</f>
        <v>893</v>
      </c>
      <c r="F10">
        <f>VLOOKUP(C10,机型!A:E,3,0)</f>
        <v>2400</v>
      </c>
      <c r="G10">
        <f>VLOOKUP(C10,机型!A:E,4,0)</f>
        <v>12</v>
      </c>
      <c r="H10">
        <f>VLOOKUP(C10,机型!A:E,5,0)</f>
        <v>390</v>
      </c>
    </row>
    <row r="11" spans="1:8" x14ac:dyDescent="0.25">
      <c r="A11" s="4" t="s">
        <v>3</v>
      </c>
      <c r="B11" t="s">
        <v>7</v>
      </c>
      <c r="C11" t="s">
        <v>58</v>
      </c>
      <c r="E11">
        <f>VLOOKUP(C11,机型!A:E,2,0)</f>
        <v>901.92400000000009</v>
      </c>
      <c r="F11">
        <f>VLOOKUP(C11,机型!A:E,3,0)</f>
        <v>1900</v>
      </c>
      <c r="G11">
        <f>VLOOKUP(C11,机型!A:E,4,0)</f>
        <v>11</v>
      </c>
      <c r="H11">
        <f>VLOOKUP(C11,机型!A:E,5,0)</f>
        <v>314</v>
      </c>
    </row>
    <row r="12" spans="1:8" x14ac:dyDescent="0.25">
      <c r="A12" s="4" t="s">
        <v>3</v>
      </c>
      <c r="B12" t="s">
        <v>10</v>
      </c>
      <c r="C12" t="s">
        <v>62</v>
      </c>
      <c r="E12">
        <f>VLOOKUP(C12,机型!A:E,2,0)</f>
        <v>828</v>
      </c>
      <c r="F12">
        <f>VLOOKUP(C12,机型!A:E,3,0)</f>
        <v>950</v>
      </c>
      <c r="G12">
        <f>VLOOKUP(C12,机型!A:E,4,0)</f>
        <v>8</v>
      </c>
      <c r="H12">
        <f>VLOOKUP(C12,机型!A:E,5,0)</f>
        <v>186</v>
      </c>
    </row>
    <row r="13" spans="1:8" x14ac:dyDescent="0.25">
      <c r="A13" s="4" t="s">
        <v>3</v>
      </c>
      <c r="B13" t="s">
        <v>10</v>
      </c>
      <c r="C13" t="s">
        <v>11</v>
      </c>
      <c r="E13">
        <f>VLOOKUP(C13,机型!A:E,2,0)</f>
        <v>828</v>
      </c>
      <c r="F13">
        <f>VLOOKUP(C13,机型!A:E,3,0)</f>
        <v>950</v>
      </c>
      <c r="G13">
        <f>VLOOKUP(C13,机型!A:E,4,0)</f>
        <v>8</v>
      </c>
      <c r="H13">
        <f>VLOOKUP(C13,机型!A:E,5,0)</f>
        <v>186</v>
      </c>
    </row>
    <row r="14" spans="1:8" x14ac:dyDescent="0.25">
      <c r="A14" s="4" t="s">
        <v>3</v>
      </c>
      <c r="B14" t="s">
        <v>7</v>
      </c>
      <c r="C14" t="s">
        <v>9</v>
      </c>
      <c r="E14">
        <f>VLOOKUP(C14,机型!A:E,2,0)</f>
        <v>901.92400000000009</v>
      </c>
      <c r="F14">
        <f>VLOOKUP(C14,机型!A:E,3,0)</f>
        <v>1900</v>
      </c>
      <c r="G14">
        <f>VLOOKUP(C14,机型!A:E,4,0)</f>
        <v>11</v>
      </c>
      <c r="H14">
        <f>VLOOKUP(C14,机型!A:E,5,0)</f>
        <v>314</v>
      </c>
    </row>
    <row r="15" spans="1:8" x14ac:dyDescent="0.25">
      <c r="A15" s="4" t="s">
        <v>3</v>
      </c>
      <c r="B15" t="s">
        <v>4</v>
      </c>
      <c r="C15" t="s">
        <v>5</v>
      </c>
      <c r="E15">
        <f>VLOOKUP(C15,机型!A:E,2,0)</f>
        <v>963.04000000000008</v>
      </c>
      <c r="F15">
        <f>VLOOKUP(C15,机型!A:E,3,0)</f>
        <v>3900</v>
      </c>
      <c r="G15">
        <f>VLOOKUP(C15,机型!A:E,4,0)</f>
        <v>16</v>
      </c>
      <c r="H15">
        <f>VLOOKUP(C15,机型!A:E,5,0)</f>
        <v>555</v>
      </c>
    </row>
    <row r="16" spans="1:8" x14ac:dyDescent="0.25">
      <c r="A16" s="4" t="s">
        <v>3</v>
      </c>
      <c r="B16" t="s">
        <v>12</v>
      </c>
      <c r="C16" t="s">
        <v>58</v>
      </c>
      <c r="E16">
        <f>VLOOKUP(C16,机型!A:E,2,0)</f>
        <v>901.92400000000009</v>
      </c>
      <c r="F16">
        <f>VLOOKUP(C16,机型!A:E,3,0)</f>
        <v>1900</v>
      </c>
      <c r="G16">
        <f>VLOOKUP(C16,机型!A:E,4,0)</f>
        <v>11</v>
      </c>
      <c r="H16">
        <f>VLOOKUP(C16,机型!A:E,5,0)</f>
        <v>314</v>
      </c>
    </row>
    <row r="17" spans="1:8" x14ac:dyDescent="0.25">
      <c r="A17" s="4" t="s">
        <v>3</v>
      </c>
      <c r="B17" t="s">
        <v>4</v>
      </c>
      <c r="C17" t="s">
        <v>6</v>
      </c>
      <c r="E17">
        <f>VLOOKUP(C17,机型!A:E,2,0)</f>
        <v>893</v>
      </c>
      <c r="F17">
        <f>VLOOKUP(C17,机型!A:E,3,0)</f>
        <v>2400</v>
      </c>
      <c r="G17">
        <f>VLOOKUP(C17,机型!A:E,4,0)</f>
        <v>12</v>
      </c>
      <c r="H17">
        <f>VLOOKUP(C17,机型!A:E,5,0)</f>
        <v>390</v>
      </c>
    </row>
    <row r="18" spans="1:8" x14ac:dyDescent="0.25">
      <c r="A18" s="4" t="s">
        <v>3</v>
      </c>
      <c r="B18" t="s">
        <v>4</v>
      </c>
      <c r="C18" t="s">
        <v>5</v>
      </c>
      <c r="E18">
        <f>VLOOKUP(C18,机型!A:E,2,0)</f>
        <v>963.04000000000008</v>
      </c>
      <c r="F18">
        <f>VLOOKUP(C18,机型!A:E,3,0)</f>
        <v>3900</v>
      </c>
      <c r="G18">
        <f>VLOOKUP(C18,机型!A:E,4,0)</f>
        <v>16</v>
      </c>
      <c r="H18">
        <f>VLOOKUP(C18,机型!A:E,5,0)</f>
        <v>555</v>
      </c>
    </row>
    <row r="19" spans="1:8" x14ac:dyDescent="0.25">
      <c r="A19" s="4" t="s">
        <v>3</v>
      </c>
      <c r="B19" t="s">
        <v>13</v>
      </c>
      <c r="C19" t="s">
        <v>58</v>
      </c>
      <c r="E19">
        <f>VLOOKUP(C19,机型!A:E,2,0)</f>
        <v>901.92400000000009</v>
      </c>
      <c r="F19">
        <f>VLOOKUP(C19,机型!A:E,3,0)</f>
        <v>1900</v>
      </c>
      <c r="G19">
        <f>VLOOKUP(C19,机型!A:E,4,0)</f>
        <v>11</v>
      </c>
      <c r="H19">
        <f>VLOOKUP(C19,机型!A:E,5,0)</f>
        <v>314</v>
      </c>
    </row>
    <row r="20" spans="1:8" x14ac:dyDescent="0.25">
      <c r="A20" s="4" t="s">
        <v>3</v>
      </c>
      <c r="B20" t="s">
        <v>4</v>
      </c>
      <c r="C20" t="s">
        <v>5</v>
      </c>
      <c r="E20">
        <f>VLOOKUP(C20,机型!A:E,2,0)</f>
        <v>963.04000000000008</v>
      </c>
      <c r="F20">
        <f>VLOOKUP(C20,机型!A:E,3,0)</f>
        <v>3900</v>
      </c>
      <c r="G20">
        <f>VLOOKUP(C20,机型!A:E,4,0)</f>
        <v>16</v>
      </c>
      <c r="H20">
        <f>VLOOKUP(C20,机型!A:E,5,0)</f>
        <v>555</v>
      </c>
    </row>
    <row r="21" spans="1:8" x14ac:dyDescent="0.25">
      <c r="A21" s="4" t="s">
        <v>3</v>
      </c>
      <c r="B21" t="s">
        <v>7</v>
      </c>
      <c r="C21" t="s">
        <v>9</v>
      </c>
      <c r="E21">
        <f>VLOOKUP(C21,机型!A:E,2,0)</f>
        <v>901.92400000000009</v>
      </c>
      <c r="F21">
        <f>VLOOKUP(C21,机型!A:E,3,0)</f>
        <v>1900</v>
      </c>
      <c r="G21">
        <f>VLOOKUP(C21,机型!A:E,4,0)</f>
        <v>11</v>
      </c>
      <c r="H21">
        <f>VLOOKUP(C21,机型!A:E,5,0)</f>
        <v>314</v>
      </c>
    </row>
    <row r="22" spans="1:8" x14ac:dyDescent="0.25">
      <c r="A22" s="4" t="s">
        <v>3</v>
      </c>
      <c r="B22" t="s">
        <v>4</v>
      </c>
      <c r="C22" t="s">
        <v>5</v>
      </c>
      <c r="E22">
        <f>VLOOKUP(C22,机型!A:E,2,0)</f>
        <v>963.04000000000008</v>
      </c>
      <c r="F22">
        <f>VLOOKUP(C22,机型!A:E,3,0)</f>
        <v>3900</v>
      </c>
      <c r="G22">
        <f>VLOOKUP(C22,机型!A:E,4,0)</f>
        <v>16</v>
      </c>
      <c r="H22">
        <f>VLOOKUP(C22,机型!A:E,5,0)</f>
        <v>555</v>
      </c>
    </row>
    <row r="23" spans="1:8" x14ac:dyDescent="0.25">
      <c r="A23" s="4" t="s">
        <v>3</v>
      </c>
      <c r="B23" t="s">
        <v>4</v>
      </c>
      <c r="C23" t="s">
        <v>6</v>
      </c>
      <c r="E23">
        <f>VLOOKUP(C23,机型!A:E,2,0)</f>
        <v>893</v>
      </c>
      <c r="F23">
        <f>VLOOKUP(C23,机型!A:E,3,0)</f>
        <v>2400</v>
      </c>
      <c r="G23">
        <f>VLOOKUP(C23,机型!A:E,4,0)</f>
        <v>12</v>
      </c>
      <c r="H23">
        <f>VLOOKUP(C23,机型!A:E,5,0)</f>
        <v>390</v>
      </c>
    </row>
    <row r="24" spans="1:8" x14ac:dyDescent="0.25">
      <c r="A24" s="4" t="s">
        <v>3</v>
      </c>
      <c r="B24" t="s">
        <v>7</v>
      </c>
      <c r="C24" t="s">
        <v>8</v>
      </c>
      <c r="E24">
        <f>VLOOKUP(C24,机型!A:E,2,0)</f>
        <v>913</v>
      </c>
      <c r="F24">
        <f>VLOOKUP(C24,机型!A:E,3,0)</f>
        <v>1750</v>
      </c>
      <c r="G24">
        <f>VLOOKUP(C24,机型!A:E,4,0)</f>
        <v>9</v>
      </c>
      <c r="H24">
        <f>VLOOKUP(C24,机型!A:E,5,0)</f>
        <v>230</v>
      </c>
    </row>
    <row r="25" spans="1:8" x14ac:dyDescent="0.25">
      <c r="A25" s="4" t="s">
        <v>3</v>
      </c>
      <c r="B25" t="s">
        <v>4</v>
      </c>
      <c r="C25" t="s">
        <v>5</v>
      </c>
      <c r="E25">
        <f>VLOOKUP(C25,机型!A:E,2,0)</f>
        <v>963.04000000000008</v>
      </c>
      <c r="F25">
        <f>VLOOKUP(C25,机型!A:E,3,0)</f>
        <v>3900</v>
      </c>
      <c r="G25">
        <f>VLOOKUP(C25,机型!A:E,4,0)</f>
        <v>16</v>
      </c>
      <c r="H25">
        <f>VLOOKUP(C25,机型!A:E,5,0)</f>
        <v>555</v>
      </c>
    </row>
    <row r="26" spans="1:8" x14ac:dyDescent="0.25">
      <c r="A26" s="4" t="s">
        <v>3</v>
      </c>
      <c r="B26" t="s">
        <v>7</v>
      </c>
      <c r="C26" t="s">
        <v>60</v>
      </c>
      <c r="E26">
        <f>VLOOKUP(C26,机型!A:E,2,0)</f>
        <v>969.31799999999998</v>
      </c>
      <c r="F26">
        <f>VLOOKUP(C26,机型!A:E,3,0)</f>
        <v>720</v>
      </c>
      <c r="G26">
        <f>VLOOKUP(C26,机型!A:E,4,0)</f>
        <v>8</v>
      </c>
      <c r="H26">
        <f>VLOOKUP(C26,机型!A:E,5,0)</f>
        <v>170</v>
      </c>
    </row>
    <row r="27" spans="1:8" x14ac:dyDescent="0.25">
      <c r="A27" s="4" t="s">
        <v>3</v>
      </c>
      <c r="B27" t="s">
        <v>4</v>
      </c>
      <c r="C27" t="s">
        <v>6</v>
      </c>
      <c r="E27">
        <f>VLOOKUP(C27,机型!A:E,2,0)</f>
        <v>893</v>
      </c>
      <c r="F27">
        <f>VLOOKUP(C27,机型!A:E,3,0)</f>
        <v>2400</v>
      </c>
      <c r="G27">
        <f>VLOOKUP(C27,机型!A:E,4,0)</f>
        <v>12</v>
      </c>
      <c r="H27">
        <f>VLOOKUP(C27,机型!A:E,5,0)</f>
        <v>390</v>
      </c>
    </row>
    <row r="28" spans="1:8" x14ac:dyDescent="0.25">
      <c r="A28" s="4" t="s">
        <v>3</v>
      </c>
      <c r="B28" t="s">
        <v>13</v>
      </c>
      <c r="C28" t="s">
        <v>64</v>
      </c>
      <c r="E28">
        <f>VLOOKUP(C28,机型!A:E,2,0)</f>
        <v>840</v>
      </c>
      <c r="F28">
        <f>VLOOKUP(C28,机型!A:E,3,0)</f>
        <v>826</v>
      </c>
      <c r="G28">
        <f>VLOOKUP(C28,机型!A:E,4,0)</f>
        <v>7</v>
      </c>
      <c r="H28">
        <f>VLOOKUP(C28,机型!A:E,5,0)</f>
        <v>150</v>
      </c>
    </row>
    <row r="29" spans="1:8" x14ac:dyDescent="0.25">
      <c r="A29" s="4" t="s">
        <v>3</v>
      </c>
      <c r="B29" t="s">
        <v>4</v>
      </c>
      <c r="C29" t="s">
        <v>5</v>
      </c>
      <c r="E29">
        <f>VLOOKUP(C29,机型!A:E,2,0)</f>
        <v>963.04000000000008</v>
      </c>
      <c r="F29">
        <f>VLOOKUP(C29,机型!A:E,3,0)</f>
        <v>3900</v>
      </c>
      <c r="G29">
        <f>VLOOKUP(C29,机型!A:E,4,0)</f>
        <v>16</v>
      </c>
      <c r="H29">
        <f>VLOOKUP(C29,机型!A:E,5,0)</f>
        <v>555</v>
      </c>
    </row>
    <row r="30" spans="1:8" x14ac:dyDescent="0.25">
      <c r="A30" s="4" t="s">
        <v>3</v>
      </c>
      <c r="B30" t="s">
        <v>7</v>
      </c>
      <c r="C30" t="s">
        <v>8</v>
      </c>
      <c r="E30">
        <f>VLOOKUP(C30,机型!A:E,2,0)</f>
        <v>913</v>
      </c>
      <c r="F30">
        <f>VLOOKUP(C30,机型!A:E,3,0)</f>
        <v>1750</v>
      </c>
      <c r="G30">
        <f>VLOOKUP(C30,机型!A:E,4,0)</f>
        <v>9</v>
      </c>
      <c r="H30">
        <f>VLOOKUP(C30,机型!A:E,5,0)</f>
        <v>230</v>
      </c>
    </row>
    <row r="31" spans="1:8" x14ac:dyDescent="0.25">
      <c r="A31" s="4" t="s">
        <v>3</v>
      </c>
      <c r="B31" t="s">
        <v>7</v>
      </c>
      <c r="C31" t="s">
        <v>14</v>
      </c>
      <c r="E31">
        <f>VLOOKUP(C31,机型!A:E,2,0)</f>
        <v>969.31799999999998</v>
      </c>
      <c r="F31">
        <f>VLOOKUP(C31,机型!A:E,3,0)</f>
        <v>720</v>
      </c>
      <c r="G31">
        <f>VLOOKUP(C31,机型!A:E,4,0)</f>
        <v>8</v>
      </c>
      <c r="H31">
        <f>VLOOKUP(C31,机型!A:E,5,0)</f>
        <v>170</v>
      </c>
    </row>
    <row r="32" spans="1:8" s="6" customFormat="1" ht="14.4" thickBot="1" x14ac:dyDescent="0.3">
      <c r="A32" s="5" t="s">
        <v>3</v>
      </c>
      <c r="B32" s="6" t="s">
        <v>13</v>
      </c>
      <c r="C32" s="6" t="s">
        <v>15</v>
      </c>
      <c r="D32"/>
      <c r="E32">
        <f>VLOOKUP(C32,机型!A:E,2,0)</f>
        <v>840</v>
      </c>
      <c r="F32">
        <f>VLOOKUP(C32,机型!A:E,3,0)</f>
        <v>826</v>
      </c>
      <c r="G32">
        <f>VLOOKUP(C32,机型!A:E,4,0)</f>
        <v>7</v>
      </c>
      <c r="H32">
        <f>VLOOKUP(C32,机型!A:E,5,0)</f>
        <v>150</v>
      </c>
    </row>
    <row r="33" spans="1:8" s="3" customFormat="1" x14ac:dyDescent="0.25">
      <c r="A33" s="2" t="s">
        <v>16</v>
      </c>
      <c r="B33" s="3" t="s">
        <v>4</v>
      </c>
      <c r="C33" s="3" t="s">
        <v>56</v>
      </c>
      <c r="D33"/>
      <c r="E33">
        <f>VLOOKUP(C33,机型!A:E,2,0)</f>
        <v>963.04000000000008</v>
      </c>
      <c r="F33">
        <f>VLOOKUP(C33,机型!A:E,3,0)</f>
        <v>3900</v>
      </c>
      <c r="G33">
        <f>VLOOKUP(C33,机型!A:E,4,0)</f>
        <v>16</v>
      </c>
      <c r="H33">
        <f>VLOOKUP(C33,机型!A:E,5,0)</f>
        <v>555</v>
      </c>
    </row>
    <row r="34" spans="1:8" x14ac:dyDescent="0.25">
      <c r="A34" s="4" t="s">
        <v>16</v>
      </c>
      <c r="B34" t="s">
        <v>4</v>
      </c>
      <c r="C34" t="s">
        <v>5</v>
      </c>
      <c r="E34">
        <f>VLOOKUP(C34,机型!A:E,2,0)</f>
        <v>963.04000000000008</v>
      </c>
      <c r="F34">
        <f>VLOOKUP(C34,机型!A:E,3,0)</f>
        <v>3900</v>
      </c>
      <c r="G34">
        <f>VLOOKUP(C34,机型!A:E,4,0)</f>
        <v>16</v>
      </c>
      <c r="H34">
        <f>VLOOKUP(C34,机型!A:E,5,0)</f>
        <v>555</v>
      </c>
    </row>
    <row r="35" spans="1:8" x14ac:dyDescent="0.25">
      <c r="A35" s="4" t="s">
        <v>16</v>
      </c>
      <c r="B35" t="s">
        <v>4</v>
      </c>
      <c r="C35" t="s">
        <v>5</v>
      </c>
      <c r="E35">
        <f>VLOOKUP(C35,机型!A:E,2,0)</f>
        <v>963.04000000000008</v>
      </c>
      <c r="F35">
        <f>VLOOKUP(C35,机型!A:E,3,0)</f>
        <v>3900</v>
      </c>
      <c r="G35">
        <f>VLOOKUP(C35,机型!A:E,4,0)</f>
        <v>16</v>
      </c>
      <c r="H35">
        <f>VLOOKUP(C35,机型!A:E,5,0)</f>
        <v>555</v>
      </c>
    </row>
    <row r="36" spans="1:8" x14ac:dyDescent="0.25">
      <c r="A36" s="4" t="s">
        <v>16</v>
      </c>
      <c r="B36" t="s">
        <v>4</v>
      </c>
      <c r="C36" t="s">
        <v>5</v>
      </c>
      <c r="E36">
        <f>VLOOKUP(C36,机型!A:E,2,0)</f>
        <v>963.04000000000008</v>
      </c>
      <c r="F36">
        <f>VLOOKUP(C36,机型!A:E,3,0)</f>
        <v>3900</v>
      </c>
      <c r="G36">
        <f>VLOOKUP(C36,机型!A:E,4,0)</f>
        <v>16</v>
      </c>
      <c r="H36">
        <f>VLOOKUP(C36,机型!A:E,5,0)</f>
        <v>555</v>
      </c>
    </row>
    <row r="37" spans="1:8" x14ac:dyDescent="0.25">
      <c r="A37" s="4" t="s">
        <v>16</v>
      </c>
      <c r="B37" t="s">
        <v>4</v>
      </c>
      <c r="C37" t="s">
        <v>5</v>
      </c>
      <c r="E37">
        <f>VLOOKUP(C37,机型!A:E,2,0)</f>
        <v>963.04000000000008</v>
      </c>
      <c r="F37">
        <f>VLOOKUP(C37,机型!A:E,3,0)</f>
        <v>3900</v>
      </c>
      <c r="G37">
        <f>VLOOKUP(C37,机型!A:E,4,0)</f>
        <v>16</v>
      </c>
      <c r="H37">
        <f>VLOOKUP(C37,机型!A:E,5,0)</f>
        <v>555</v>
      </c>
    </row>
    <row r="38" spans="1:8" x14ac:dyDescent="0.25">
      <c r="A38" s="4" t="s">
        <v>16</v>
      </c>
      <c r="B38" t="s">
        <v>4</v>
      </c>
      <c r="C38" t="s">
        <v>5</v>
      </c>
      <c r="E38">
        <f>VLOOKUP(C38,机型!A:E,2,0)</f>
        <v>963.04000000000008</v>
      </c>
      <c r="F38">
        <f>VLOOKUP(C38,机型!A:E,3,0)</f>
        <v>3900</v>
      </c>
      <c r="G38">
        <f>VLOOKUP(C38,机型!A:E,4,0)</f>
        <v>16</v>
      </c>
      <c r="H38">
        <f>VLOOKUP(C38,机型!A:E,5,0)</f>
        <v>555</v>
      </c>
    </row>
    <row r="39" spans="1:8" x14ac:dyDescent="0.25">
      <c r="A39" s="4" t="s">
        <v>16</v>
      </c>
      <c r="B39" t="s">
        <v>4</v>
      </c>
      <c r="C39" t="s">
        <v>5</v>
      </c>
      <c r="E39">
        <f>VLOOKUP(C39,机型!A:E,2,0)</f>
        <v>963.04000000000008</v>
      </c>
      <c r="F39">
        <f>VLOOKUP(C39,机型!A:E,3,0)</f>
        <v>3900</v>
      </c>
      <c r="G39">
        <f>VLOOKUP(C39,机型!A:E,4,0)</f>
        <v>16</v>
      </c>
      <c r="H39">
        <f>VLOOKUP(C39,机型!A:E,5,0)</f>
        <v>555</v>
      </c>
    </row>
    <row r="40" spans="1:8" x14ac:dyDescent="0.25">
      <c r="A40" s="4" t="s">
        <v>16</v>
      </c>
      <c r="B40" t="s">
        <v>4</v>
      </c>
      <c r="C40" t="s">
        <v>5</v>
      </c>
      <c r="E40">
        <f>VLOOKUP(C40,机型!A:E,2,0)</f>
        <v>963.04000000000008</v>
      </c>
      <c r="F40">
        <f>VLOOKUP(C40,机型!A:E,3,0)</f>
        <v>3900</v>
      </c>
      <c r="G40">
        <f>VLOOKUP(C40,机型!A:E,4,0)</f>
        <v>16</v>
      </c>
      <c r="H40">
        <f>VLOOKUP(C40,机型!A:E,5,0)</f>
        <v>555</v>
      </c>
    </row>
    <row r="41" spans="1:8" x14ac:dyDescent="0.25">
      <c r="A41" s="4" t="s">
        <v>16</v>
      </c>
      <c r="B41" t="s">
        <v>4</v>
      </c>
      <c r="C41" t="s">
        <v>5</v>
      </c>
      <c r="E41">
        <f>VLOOKUP(C41,机型!A:E,2,0)</f>
        <v>963.04000000000008</v>
      </c>
      <c r="F41">
        <f>VLOOKUP(C41,机型!A:E,3,0)</f>
        <v>3900</v>
      </c>
      <c r="G41">
        <f>VLOOKUP(C41,机型!A:E,4,0)</f>
        <v>16</v>
      </c>
      <c r="H41">
        <f>VLOOKUP(C41,机型!A:E,5,0)</f>
        <v>555</v>
      </c>
    </row>
    <row r="42" spans="1:8" x14ac:dyDescent="0.25">
      <c r="A42" s="4" t="s">
        <v>16</v>
      </c>
      <c r="B42" t="s">
        <v>4</v>
      </c>
      <c r="C42" t="s">
        <v>5</v>
      </c>
      <c r="E42">
        <f>VLOOKUP(C42,机型!A:E,2,0)</f>
        <v>963.04000000000008</v>
      </c>
      <c r="F42">
        <f>VLOOKUP(C42,机型!A:E,3,0)</f>
        <v>3900</v>
      </c>
      <c r="G42">
        <f>VLOOKUP(C42,机型!A:E,4,0)</f>
        <v>16</v>
      </c>
      <c r="H42">
        <f>VLOOKUP(C42,机型!A:E,5,0)</f>
        <v>555</v>
      </c>
    </row>
    <row r="43" spans="1:8" x14ac:dyDescent="0.25">
      <c r="A43" s="4" t="s">
        <v>16</v>
      </c>
      <c r="B43" t="s">
        <v>4</v>
      </c>
      <c r="C43" t="s">
        <v>5</v>
      </c>
      <c r="E43">
        <f>VLOOKUP(C43,机型!A:E,2,0)</f>
        <v>963.04000000000008</v>
      </c>
      <c r="F43">
        <f>VLOOKUP(C43,机型!A:E,3,0)</f>
        <v>3900</v>
      </c>
      <c r="G43">
        <f>VLOOKUP(C43,机型!A:E,4,0)</f>
        <v>16</v>
      </c>
      <c r="H43">
        <f>VLOOKUP(C43,机型!A:E,5,0)</f>
        <v>555</v>
      </c>
    </row>
    <row r="44" spans="1:8" x14ac:dyDescent="0.25">
      <c r="A44" s="4" t="s">
        <v>16</v>
      </c>
      <c r="B44" t="s">
        <v>4</v>
      </c>
      <c r="C44" t="s">
        <v>5</v>
      </c>
      <c r="E44">
        <f>VLOOKUP(C44,机型!A:E,2,0)</f>
        <v>963.04000000000008</v>
      </c>
      <c r="F44">
        <f>VLOOKUP(C44,机型!A:E,3,0)</f>
        <v>3900</v>
      </c>
      <c r="G44">
        <f>VLOOKUP(C44,机型!A:E,4,0)</f>
        <v>16</v>
      </c>
      <c r="H44">
        <f>VLOOKUP(C44,机型!A:E,5,0)</f>
        <v>555</v>
      </c>
    </row>
    <row r="45" spans="1:8" x14ac:dyDescent="0.25">
      <c r="A45" s="4" t="s">
        <v>16</v>
      </c>
      <c r="B45" t="s">
        <v>4</v>
      </c>
      <c r="C45" t="s">
        <v>5</v>
      </c>
      <c r="E45">
        <f>VLOOKUP(C45,机型!A:E,2,0)</f>
        <v>963.04000000000008</v>
      </c>
      <c r="F45">
        <f>VLOOKUP(C45,机型!A:E,3,0)</f>
        <v>3900</v>
      </c>
      <c r="G45">
        <f>VLOOKUP(C45,机型!A:E,4,0)</f>
        <v>16</v>
      </c>
      <c r="H45">
        <f>VLOOKUP(C45,机型!A:E,5,0)</f>
        <v>555</v>
      </c>
    </row>
    <row r="46" spans="1:8" x14ac:dyDescent="0.25">
      <c r="A46" s="4" t="s">
        <v>16</v>
      </c>
      <c r="B46" t="s">
        <v>4</v>
      </c>
      <c r="C46" t="s">
        <v>5</v>
      </c>
      <c r="E46">
        <f>VLOOKUP(C46,机型!A:E,2,0)</f>
        <v>963.04000000000008</v>
      </c>
      <c r="F46">
        <f>VLOOKUP(C46,机型!A:E,3,0)</f>
        <v>3900</v>
      </c>
      <c r="G46">
        <f>VLOOKUP(C46,机型!A:E,4,0)</f>
        <v>16</v>
      </c>
      <c r="H46">
        <f>VLOOKUP(C46,机型!A:E,5,0)</f>
        <v>555</v>
      </c>
    </row>
    <row r="47" spans="1:8" s="6" customFormat="1" ht="14.4" thickBot="1" x14ac:dyDescent="0.3">
      <c r="A47" s="5" t="s">
        <v>16</v>
      </c>
      <c r="B47" s="6" t="s">
        <v>4</v>
      </c>
      <c r="C47" s="6" t="s">
        <v>5</v>
      </c>
      <c r="D47"/>
      <c r="E47">
        <f>VLOOKUP(C47,机型!A:E,2,0)</f>
        <v>963.04000000000008</v>
      </c>
      <c r="F47">
        <f>VLOOKUP(C47,机型!A:E,3,0)</f>
        <v>3900</v>
      </c>
      <c r="G47">
        <f>VLOOKUP(C47,机型!A:E,4,0)</f>
        <v>16</v>
      </c>
      <c r="H47">
        <f>VLOOKUP(C47,机型!A:E,5,0)</f>
        <v>555</v>
      </c>
    </row>
    <row r="48" spans="1:8" s="3" customFormat="1" x14ac:dyDescent="0.25">
      <c r="A48" s="2" t="s">
        <v>17</v>
      </c>
      <c r="B48" s="3" t="s">
        <v>4</v>
      </c>
      <c r="C48" s="3" t="s">
        <v>56</v>
      </c>
      <c r="D48"/>
      <c r="E48">
        <f>VLOOKUP(C48,机型!A:E,2,0)</f>
        <v>963.04000000000008</v>
      </c>
      <c r="F48">
        <f>VLOOKUP(C48,机型!A:E,3,0)</f>
        <v>3900</v>
      </c>
      <c r="G48">
        <f>VLOOKUP(C48,机型!A:E,4,0)</f>
        <v>16</v>
      </c>
      <c r="H48">
        <f>VLOOKUP(C48,机型!A:E,5,0)</f>
        <v>555</v>
      </c>
    </row>
    <row r="49" spans="1:8" x14ac:dyDescent="0.25">
      <c r="A49" s="4" t="s">
        <v>17</v>
      </c>
      <c r="B49" t="s">
        <v>4</v>
      </c>
      <c r="C49" t="s">
        <v>55</v>
      </c>
      <c r="E49">
        <f>VLOOKUP(C49,机型!A:E,2,0)</f>
        <v>893</v>
      </c>
      <c r="F49">
        <f>VLOOKUP(C49,机型!A:E,3,0)</f>
        <v>2400</v>
      </c>
      <c r="G49">
        <f>VLOOKUP(C49,机型!A:E,4,0)</f>
        <v>12</v>
      </c>
      <c r="H49">
        <f>VLOOKUP(C49,机型!A:E,5,0)</f>
        <v>390</v>
      </c>
    </row>
    <row r="50" spans="1:8" x14ac:dyDescent="0.25">
      <c r="A50" s="4" t="s">
        <v>17</v>
      </c>
      <c r="B50" t="s">
        <v>4</v>
      </c>
      <c r="C50" t="s">
        <v>5</v>
      </c>
      <c r="E50">
        <f>VLOOKUP(C50,机型!A:E,2,0)</f>
        <v>963.04000000000008</v>
      </c>
      <c r="F50">
        <f>VLOOKUP(C50,机型!A:E,3,0)</f>
        <v>3900</v>
      </c>
      <c r="G50">
        <f>VLOOKUP(C50,机型!A:E,4,0)</f>
        <v>16</v>
      </c>
      <c r="H50">
        <f>VLOOKUP(C50,机型!A:E,5,0)</f>
        <v>555</v>
      </c>
    </row>
    <row r="51" spans="1:8" x14ac:dyDescent="0.25">
      <c r="A51" s="4" t="s">
        <v>17</v>
      </c>
      <c r="B51" t="s">
        <v>4</v>
      </c>
      <c r="C51" t="s">
        <v>5</v>
      </c>
      <c r="E51">
        <f>VLOOKUP(C51,机型!A:E,2,0)</f>
        <v>963.04000000000008</v>
      </c>
      <c r="F51">
        <f>VLOOKUP(C51,机型!A:E,3,0)</f>
        <v>3900</v>
      </c>
      <c r="G51">
        <f>VLOOKUP(C51,机型!A:E,4,0)</f>
        <v>16</v>
      </c>
      <c r="H51">
        <f>VLOOKUP(C51,机型!A:E,5,0)</f>
        <v>555</v>
      </c>
    </row>
    <row r="52" spans="1:8" x14ac:dyDescent="0.25">
      <c r="A52" s="4" t="s">
        <v>17</v>
      </c>
      <c r="B52" t="s">
        <v>4</v>
      </c>
      <c r="C52" t="s">
        <v>5</v>
      </c>
      <c r="E52">
        <f>VLOOKUP(C52,机型!A:E,2,0)</f>
        <v>963.04000000000008</v>
      </c>
      <c r="F52">
        <f>VLOOKUP(C52,机型!A:E,3,0)</f>
        <v>3900</v>
      </c>
      <c r="G52">
        <f>VLOOKUP(C52,机型!A:E,4,0)</f>
        <v>16</v>
      </c>
      <c r="H52">
        <f>VLOOKUP(C52,机型!A:E,5,0)</f>
        <v>555</v>
      </c>
    </row>
    <row r="53" spans="1:8" x14ac:dyDescent="0.25">
      <c r="A53" s="4" t="s">
        <v>17</v>
      </c>
      <c r="B53" t="s">
        <v>4</v>
      </c>
      <c r="C53" t="s">
        <v>6</v>
      </c>
      <c r="E53">
        <f>VLOOKUP(C53,机型!A:E,2,0)</f>
        <v>893</v>
      </c>
      <c r="F53">
        <f>VLOOKUP(C53,机型!A:E,3,0)</f>
        <v>2400</v>
      </c>
      <c r="G53">
        <f>VLOOKUP(C53,机型!A:E,4,0)</f>
        <v>12</v>
      </c>
      <c r="H53">
        <f>VLOOKUP(C53,机型!A:E,5,0)</f>
        <v>390</v>
      </c>
    </row>
    <row r="54" spans="1:8" x14ac:dyDescent="0.25">
      <c r="A54" s="4" t="s">
        <v>17</v>
      </c>
      <c r="B54" t="s">
        <v>4</v>
      </c>
      <c r="C54" t="s">
        <v>5</v>
      </c>
      <c r="E54">
        <f>VLOOKUP(C54,机型!A:E,2,0)</f>
        <v>963.04000000000008</v>
      </c>
      <c r="F54">
        <f>VLOOKUP(C54,机型!A:E,3,0)</f>
        <v>3900</v>
      </c>
      <c r="G54">
        <f>VLOOKUP(C54,机型!A:E,4,0)</f>
        <v>16</v>
      </c>
      <c r="H54">
        <f>VLOOKUP(C54,机型!A:E,5,0)</f>
        <v>555</v>
      </c>
    </row>
    <row r="55" spans="1:8" x14ac:dyDescent="0.25">
      <c r="A55" s="4" t="s">
        <v>17</v>
      </c>
      <c r="B55" t="s">
        <v>4</v>
      </c>
      <c r="C55" t="s">
        <v>5</v>
      </c>
      <c r="E55">
        <f>VLOOKUP(C55,机型!A:E,2,0)</f>
        <v>963.04000000000008</v>
      </c>
      <c r="F55">
        <f>VLOOKUP(C55,机型!A:E,3,0)</f>
        <v>3900</v>
      </c>
      <c r="G55">
        <f>VLOOKUP(C55,机型!A:E,4,0)</f>
        <v>16</v>
      </c>
      <c r="H55">
        <f>VLOOKUP(C55,机型!A:E,5,0)</f>
        <v>555</v>
      </c>
    </row>
    <row r="56" spans="1:8" x14ac:dyDescent="0.25">
      <c r="A56" s="4" t="s">
        <v>17</v>
      </c>
      <c r="B56" t="s">
        <v>4</v>
      </c>
      <c r="C56" t="s">
        <v>5</v>
      </c>
      <c r="E56">
        <f>VLOOKUP(C56,机型!A:E,2,0)</f>
        <v>963.04000000000008</v>
      </c>
      <c r="F56">
        <f>VLOOKUP(C56,机型!A:E,3,0)</f>
        <v>3900</v>
      </c>
      <c r="G56">
        <f>VLOOKUP(C56,机型!A:E,4,0)</f>
        <v>16</v>
      </c>
      <c r="H56">
        <f>VLOOKUP(C56,机型!A:E,5,0)</f>
        <v>555</v>
      </c>
    </row>
    <row r="57" spans="1:8" x14ac:dyDescent="0.25">
      <c r="A57" s="4" t="s">
        <v>17</v>
      </c>
      <c r="B57" t="s">
        <v>4</v>
      </c>
      <c r="C57" t="s">
        <v>6</v>
      </c>
      <c r="E57">
        <f>VLOOKUP(C57,机型!A:E,2,0)</f>
        <v>893</v>
      </c>
      <c r="F57">
        <f>VLOOKUP(C57,机型!A:E,3,0)</f>
        <v>2400</v>
      </c>
      <c r="G57">
        <f>VLOOKUP(C57,机型!A:E,4,0)</f>
        <v>12</v>
      </c>
      <c r="H57">
        <f>VLOOKUP(C57,机型!A:E,5,0)</f>
        <v>390</v>
      </c>
    </row>
    <row r="58" spans="1:8" x14ac:dyDescent="0.25">
      <c r="A58" s="4" t="s">
        <v>17</v>
      </c>
      <c r="B58" t="s">
        <v>4</v>
      </c>
      <c r="C58" t="s">
        <v>5</v>
      </c>
      <c r="E58">
        <f>VLOOKUP(C58,机型!A:E,2,0)</f>
        <v>963.04000000000008</v>
      </c>
      <c r="F58">
        <f>VLOOKUP(C58,机型!A:E,3,0)</f>
        <v>3900</v>
      </c>
      <c r="G58">
        <f>VLOOKUP(C58,机型!A:E,4,0)</f>
        <v>16</v>
      </c>
      <c r="H58">
        <f>VLOOKUP(C58,机型!A:E,5,0)</f>
        <v>555</v>
      </c>
    </row>
    <row r="59" spans="1:8" s="6" customFormat="1" ht="14.4" thickBot="1" x14ac:dyDescent="0.3">
      <c r="A59" s="5" t="s">
        <v>17</v>
      </c>
      <c r="B59" s="6" t="s">
        <v>4</v>
      </c>
      <c r="C59" s="6" t="s">
        <v>5</v>
      </c>
      <c r="D59"/>
      <c r="E59">
        <f>VLOOKUP(C59,机型!A:E,2,0)</f>
        <v>963.04000000000008</v>
      </c>
      <c r="F59">
        <f>VLOOKUP(C59,机型!A:E,3,0)</f>
        <v>3900</v>
      </c>
      <c r="G59">
        <f>VLOOKUP(C59,机型!A:E,4,0)</f>
        <v>16</v>
      </c>
      <c r="H59">
        <f>VLOOKUP(C59,机型!A:E,5,0)</f>
        <v>555</v>
      </c>
    </row>
    <row r="60" spans="1:8" s="3" customFormat="1" x14ac:dyDescent="0.25">
      <c r="A60" s="2" t="s">
        <v>18</v>
      </c>
      <c r="B60" s="3" t="s">
        <v>4</v>
      </c>
      <c r="C60" s="3" t="s">
        <v>57</v>
      </c>
      <c r="D60"/>
      <c r="E60">
        <f>VLOOKUP(C60,机型!A:E,2,0)</f>
        <v>905</v>
      </c>
      <c r="F60">
        <f>VLOOKUP(C60,机型!A:E,3,0)</f>
        <v>2450</v>
      </c>
      <c r="G60">
        <f>VLOOKUP(C60,机型!A:E,4,0)</f>
        <v>11</v>
      </c>
      <c r="H60">
        <f>VLOOKUP(C60,机型!A:E,5,0)</f>
        <v>305</v>
      </c>
    </row>
    <row r="61" spans="1:8" x14ac:dyDescent="0.25">
      <c r="A61" s="4" t="s">
        <v>18</v>
      </c>
      <c r="B61" t="s">
        <v>4</v>
      </c>
      <c r="C61" t="s">
        <v>56</v>
      </c>
      <c r="E61">
        <f>VLOOKUP(C61,机型!A:E,2,0)</f>
        <v>963.04000000000008</v>
      </c>
      <c r="F61">
        <f>VLOOKUP(C61,机型!A:E,3,0)</f>
        <v>3900</v>
      </c>
      <c r="G61">
        <f>VLOOKUP(C61,机型!A:E,4,0)</f>
        <v>16</v>
      </c>
      <c r="H61">
        <f>VLOOKUP(C61,机型!A:E,5,0)</f>
        <v>555</v>
      </c>
    </row>
    <row r="62" spans="1:8" x14ac:dyDescent="0.25">
      <c r="A62" s="4" t="s">
        <v>18</v>
      </c>
      <c r="B62" t="s">
        <v>4</v>
      </c>
      <c r="C62" t="s">
        <v>5</v>
      </c>
      <c r="E62">
        <f>VLOOKUP(C62,机型!A:E,2,0)</f>
        <v>963.04000000000008</v>
      </c>
      <c r="F62">
        <f>VLOOKUP(C62,机型!A:E,3,0)</f>
        <v>3900</v>
      </c>
      <c r="G62">
        <f>VLOOKUP(C62,机型!A:E,4,0)</f>
        <v>16</v>
      </c>
      <c r="H62">
        <f>VLOOKUP(C62,机型!A:E,5,0)</f>
        <v>555</v>
      </c>
    </row>
    <row r="63" spans="1:8" x14ac:dyDescent="0.25">
      <c r="A63" s="4" t="s">
        <v>18</v>
      </c>
      <c r="B63" t="s">
        <v>4</v>
      </c>
      <c r="C63" t="s">
        <v>5</v>
      </c>
      <c r="E63">
        <f>VLOOKUP(C63,机型!A:E,2,0)</f>
        <v>963.04000000000008</v>
      </c>
      <c r="F63">
        <f>VLOOKUP(C63,机型!A:E,3,0)</f>
        <v>3900</v>
      </c>
      <c r="G63">
        <f>VLOOKUP(C63,机型!A:E,4,0)</f>
        <v>16</v>
      </c>
      <c r="H63">
        <f>VLOOKUP(C63,机型!A:E,5,0)</f>
        <v>555</v>
      </c>
    </row>
    <row r="64" spans="1:8" x14ac:dyDescent="0.25">
      <c r="A64" s="4" t="s">
        <v>18</v>
      </c>
      <c r="B64" t="s">
        <v>4</v>
      </c>
      <c r="C64" t="s">
        <v>19</v>
      </c>
      <c r="E64">
        <f>VLOOKUP(C64,机型!A:E,2,0)</f>
        <v>905</v>
      </c>
      <c r="F64">
        <f>VLOOKUP(C64,机型!A:E,3,0)</f>
        <v>2450</v>
      </c>
      <c r="G64">
        <f>VLOOKUP(C64,机型!A:E,4,0)</f>
        <v>11</v>
      </c>
      <c r="H64">
        <f>VLOOKUP(C64,机型!A:E,5,0)</f>
        <v>305</v>
      </c>
    </row>
    <row r="65" spans="1:8" x14ac:dyDescent="0.25">
      <c r="A65" s="4" t="s">
        <v>18</v>
      </c>
      <c r="B65" t="s">
        <v>13</v>
      </c>
      <c r="C65" t="s">
        <v>64</v>
      </c>
      <c r="E65">
        <f>VLOOKUP(C65,机型!A:E,2,0)</f>
        <v>840</v>
      </c>
      <c r="F65">
        <f>VLOOKUP(C65,机型!A:E,3,0)</f>
        <v>826</v>
      </c>
      <c r="G65">
        <f>VLOOKUP(C65,机型!A:E,4,0)</f>
        <v>7</v>
      </c>
      <c r="H65">
        <f>VLOOKUP(C65,机型!A:E,5,0)</f>
        <v>150</v>
      </c>
    </row>
    <row r="66" spans="1:8" x14ac:dyDescent="0.25">
      <c r="A66" s="4" t="s">
        <v>18</v>
      </c>
      <c r="B66" t="s">
        <v>4</v>
      </c>
      <c r="C66" t="s">
        <v>5</v>
      </c>
      <c r="E66">
        <f>VLOOKUP(C66,机型!A:E,2,0)</f>
        <v>963.04000000000008</v>
      </c>
      <c r="F66">
        <f>VLOOKUP(C66,机型!A:E,3,0)</f>
        <v>3900</v>
      </c>
      <c r="G66">
        <f>VLOOKUP(C66,机型!A:E,4,0)</f>
        <v>16</v>
      </c>
      <c r="H66">
        <f>VLOOKUP(C66,机型!A:E,5,0)</f>
        <v>555</v>
      </c>
    </row>
    <row r="67" spans="1:8" x14ac:dyDescent="0.25">
      <c r="A67" s="4" t="s">
        <v>18</v>
      </c>
      <c r="B67" t="s">
        <v>20</v>
      </c>
      <c r="C67" t="s">
        <v>21</v>
      </c>
      <c r="E67">
        <f>VLOOKUP(C67,机型!A:E,2,0)</f>
        <v>860</v>
      </c>
      <c r="F67">
        <f>VLOOKUP(C67,机型!A:E,3,0)</f>
        <v>1850</v>
      </c>
      <c r="G67">
        <f>VLOOKUP(C67,机型!A:E,4,0)</f>
        <v>11</v>
      </c>
      <c r="H67">
        <f>VLOOKUP(C67,机型!A:E,5,0)</f>
        <v>335</v>
      </c>
    </row>
    <row r="68" spans="1:8" x14ac:dyDescent="0.25">
      <c r="A68" s="4" t="s">
        <v>18</v>
      </c>
      <c r="B68" t="s">
        <v>4</v>
      </c>
      <c r="C68" t="s">
        <v>6</v>
      </c>
      <c r="E68">
        <f>VLOOKUP(C68,机型!A:E,2,0)</f>
        <v>893</v>
      </c>
      <c r="F68">
        <f>VLOOKUP(C68,机型!A:E,3,0)</f>
        <v>2400</v>
      </c>
      <c r="G68">
        <f>VLOOKUP(C68,机型!A:E,4,0)</f>
        <v>12</v>
      </c>
      <c r="H68">
        <f>VLOOKUP(C68,机型!A:E,5,0)</f>
        <v>390</v>
      </c>
    </row>
    <row r="69" spans="1:8" x14ac:dyDescent="0.25">
      <c r="A69" s="4" t="s">
        <v>18</v>
      </c>
      <c r="B69" t="s">
        <v>10</v>
      </c>
      <c r="C69" t="s">
        <v>11</v>
      </c>
      <c r="E69">
        <f>VLOOKUP(C69,机型!A:E,2,0)</f>
        <v>828</v>
      </c>
      <c r="F69">
        <f>VLOOKUP(C69,机型!A:E,3,0)</f>
        <v>950</v>
      </c>
      <c r="G69">
        <f>VLOOKUP(C69,机型!A:E,4,0)</f>
        <v>8</v>
      </c>
      <c r="H69">
        <f>VLOOKUP(C69,机型!A:E,5,0)</f>
        <v>186</v>
      </c>
    </row>
    <row r="70" spans="1:8" x14ac:dyDescent="0.25">
      <c r="A70" s="4" t="s">
        <v>18</v>
      </c>
      <c r="B70" t="s">
        <v>12</v>
      </c>
      <c r="C70" t="s">
        <v>64</v>
      </c>
      <c r="E70">
        <f>VLOOKUP(C70,机型!A:E,2,0)</f>
        <v>840</v>
      </c>
      <c r="F70">
        <f>VLOOKUP(C70,机型!A:E,3,0)</f>
        <v>826</v>
      </c>
      <c r="G70">
        <f>VLOOKUP(C70,机型!A:E,4,0)</f>
        <v>7</v>
      </c>
      <c r="H70">
        <f>VLOOKUP(C70,机型!A:E,5,0)</f>
        <v>150</v>
      </c>
    </row>
    <row r="71" spans="1:8" x14ac:dyDescent="0.25">
      <c r="A71" s="4" t="s">
        <v>18</v>
      </c>
      <c r="B71" t="s">
        <v>12</v>
      </c>
      <c r="C71" t="s">
        <v>55</v>
      </c>
      <c r="E71">
        <f>VLOOKUP(C71,机型!A:E,2,0)</f>
        <v>893</v>
      </c>
      <c r="F71">
        <f>VLOOKUP(C71,机型!A:E,3,0)</f>
        <v>2400</v>
      </c>
      <c r="G71">
        <f>VLOOKUP(C71,机型!A:E,4,0)</f>
        <v>12</v>
      </c>
      <c r="H71">
        <f>VLOOKUP(C71,机型!A:E,5,0)</f>
        <v>390</v>
      </c>
    </row>
    <row r="72" spans="1:8" x14ac:dyDescent="0.25">
      <c r="A72" s="4" t="s">
        <v>18</v>
      </c>
      <c r="B72" t="s">
        <v>20</v>
      </c>
      <c r="C72" t="s">
        <v>37</v>
      </c>
      <c r="E72">
        <f>VLOOKUP(C72,机型!A:E,2,0)</f>
        <v>860</v>
      </c>
      <c r="F72">
        <f>VLOOKUP(C72,机型!A:E,3,0)</f>
        <v>1850</v>
      </c>
      <c r="G72">
        <f>VLOOKUP(C72,机型!A:E,4,0)</f>
        <v>11</v>
      </c>
      <c r="H72">
        <f>VLOOKUP(C72,机型!A:E,5,0)</f>
        <v>335</v>
      </c>
    </row>
    <row r="73" spans="1:8" x14ac:dyDescent="0.25">
      <c r="A73" s="4" t="s">
        <v>18</v>
      </c>
      <c r="B73" t="s">
        <v>4</v>
      </c>
      <c r="C73" t="s">
        <v>6</v>
      </c>
      <c r="E73">
        <f>VLOOKUP(C73,机型!A:E,2,0)</f>
        <v>893</v>
      </c>
      <c r="F73">
        <f>VLOOKUP(C73,机型!A:E,3,0)</f>
        <v>2400</v>
      </c>
      <c r="G73">
        <f>VLOOKUP(C73,机型!A:E,4,0)</f>
        <v>12</v>
      </c>
      <c r="H73">
        <f>VLOOKUP(C73,机型!A:E,5,0)</f>
        <v>390</v>
      </c>
    </row>
    <row r="74" spans="1:8" x14ac:dyDescent="0.25">
      <c r="A74" s="4" t="s">
        <v>18</v>
      </c>
      <c r="B74" t="s">
        <v>4</v>
      </c>
      <c r="C74" t="s">
        <v>5</v>
      </c>
      <c r="E74">
        <f>VLOOKUP(C74,机型!A:E,2,0)</f>
        <v>963.04000000000008</v>
      </c>
      <c r="F74">
        <f>VLOOKUP(C74,机型!A:E,3,0)</f>
        <v>3900</v>
      </c>
      <c r="G74">
        <f>VLOOKUP(C74,机型!A:E,4,0)</f>
        <v>16</v>
      </c>
      <c r="H74">
        <f>VLOOKUP(C74,机型!A:E,5,0)</f>
        <v>555</v>
      </c>
    </row>
    <row r="75" spans="1:8" x14ac:dyDescent="0.25">
      <c r="A75" s="4" t="s">
        <v>18</v>
      </c>
      <c r="B75" t="s">
        <v>4</v>
      </c>
      <c r="C75" t="s">
        <v>5</v>
      </c>
      <c r="E75">
        <f>VLOOKUP(C75,机型!A:E,2,0)</f>
        <v>963.04000000000008</v>
      </c>
      <c r="F75">
        <f>VLOOKUP(C75,机型!A:E,3,0)</f>
        <v>3900</v>
      </c>
      <c r="G75">
        <f>VLOOKUP(C75,机型!A:E,4,0)</f>
        <v>16</v>
      </c>
      <c r="H75">
        <f>VLOOKUP(C75,机型!A:E,5,0)</f>
        <v>555</v>
      </c>
    </row>
    <row r="76" spans="1:8" x14ac:dyDescent="0.25">
      <c r="A76" s="4" t="s">
        <v>18</v>
      </c>
      <c r="B76" t="s">
        <v>13</v>
      </c>
      <c r="C76" t="s">
        <v>55</v>
      </c>
      <c r="E76">
        <f>VLOOKUP(C76,机型!A:E,2,0)</f>
        <v>893</v>
      </c>
      <c r="F76">
        <f>VLOOKUP(C76,机型!A:E,3,0)</f>
        <v>2400</v>
      </c>
      <c r="G76">
        <f>VLOOKUP(C76,机型!A:E,4,0)</f>
        <v>12</v>
      </c>
      <c r="H76">
        <f>VLOOKUP(C76,机型!A:E,5,0)</f>
        <v>390</v>
      </c>
    </row>
    <row r="77" spans="1:8" x14ac:dyDescent="0.25">
      <c r="A77" s="4" t="s">
        <v>18</v>
      </c>
      <c r="B77" t="s">
        <v>4</v>
      </c>
      <c r="C77" t="s">
        <v>5</v>
      </c>
      <c r="E77">
        <f>VLOOKUP(C77,机型!A:E,2,0)</f>
        <v>963.04000000000008</v>
      </c>
      <c r="F77">
        <f>VLOOKUP(C77,机型!A:E,3,0)</f>
        <v>3900</v>
      </c>
      <c r="G77">
        <f>VLOOKUP(C77,机型!A:E,4,0)</f>
        <v>16</v>
      </c>
      <c r="H77">
        <f>VLOOKUP(C77,机型!A:E,5,0)</f>
        <v>555</v>
      </c>
    </row>
    <row r="78" spans="1:8" x14ac:dyDescent="0.25">
      <c r="A78" s="4" t="s">
        <v>18</v>
      </c>
      <c r="B78" t="s">
        <v>7</v>
      </c>
      <c r="C78" t="s">
        <v>58</v>
      </c>
      <c r="E78">
        <f>VLOOKUP(C78,机型!A:E,2,0)</f>
        <v>901.92400000000009</v>
      </c>
      <c r="F78">
        <f>VLOOKUP(C78,机型!A:E,3,0)</f>
        <v>1900</v>
      </c>
      <c r="G78">
        <f>VLOOKUP(C78,机型!A:E,4,0)</f>
        <v>11</v>
      </c>
      <c r="H78">
        <f>VLOOKUP(C78,机型!A:E,5,0)</f>
        <v>314</v>
      </c>
    </row>
    <row r="79" spans="1:8" x14ac:dyDescent="0.25">
      <c r="A79" s="4" t="s">
        <v>18</v>
      </c>
      <c r="B79" t="s">
        <v>4</v>
      </c>
      <c r="C79" t="s">
        <v>5</v>
      </c>
      <c r="E79">
        <f>VLOOKUP(C79,机型!A:E,2,0)</f>
        <v>963.04000000000008</v>
      </c>
      <c r="F79">
        <f>VLOOKUP(C79,机型!A:E,3,0)</f>
        <v>3900</v>
      </c>
      <c r="G79">
        <f>VLOOKUP(C79,机型!A:E,4,0)</f>
        <v>16</v>
      </c>
      <c r="H79">
        <f>VLOOKUP(C79,机型!A:E,5,0)</f>
        <v>555</v>
      </c>
    </row>
    <row r="80" spans="1:8" x14ac:dyDescent="0.25">
      <c r="A80" s="4" t="s">
        <v>18</v>
      </c>
      <c r="B80" t="s">
        <v>7</v>
      </c>
      <c r="C80" t="s">
        <v>61</v>
      </c>
      <c r="E80">
        <f>VLOOKUP(C80,机型!A:E,2,0)</f>
        <v>907</v>
      </c>
      <c r="F80">
        <f>VLOOKUP(C80,机型!A:E,3,0)</f>
        <v>3400</v>
      </c>
      <c r="G80">
        <f>VLOOKUP(C80,机型!A:E,4,0)</f>
        <v>13</v>
      </c>
      <c r="H80">
        <f>VLOOKUP(C80,机型!A:E,5,0)</f>
        <v>416</v>
      </c>
    </row>
    <row r="81" spans="1:8" s="6" customFormat="1" ht="14.4" thickBot="1" x14ac:dyDescent="0.3">
      <c r="A81" s="5" t="s">
        <v>18</v>
      </c>
      <c r="B81" s="6" t="s">
        <v>20</v>
      </c>
      <c r="C81" s="6" t="s">
        <v>21</v>
      </c>
      <c r="D81"/>
      <c r="E81">
        <f>VLOOKUP(C81,机型!A:E,2,0)</f>
        <v>860</v>
      </c>
      <c r="F81">
        <f>VLOOKUP(C81,机型!A:E,3,0)</f>
        <v>1850</v>
      </c>
      <c r="G81">
        <f>VLOOKUP(C81,机型!A:E,4,0)</f>
        <v>11</v>
      </c>
      <c r="H81">
        <f>VLOOKUP(C81,机型!A:E,5,0)</f>
        <v>335</v>
      </c>
    </row>
    <row r="82" spans="1:8" s="3" customFormat="1" x14ac:dyDescent="0.25">
      <c r="A82" s="2" t="s">
        <v>23</v>
      </c>
      <c r="B82" s="3" t="s">
        <v>12</v>
      </c>
      <c r="C82" s="3" t="s">
        <v>58</v>
      </c>
      <c r="D82"/>
      <c r="E82">
        <f>VLOOKUP(C82,机型!A:E,2,0)</f>
        <v>901.92400000000009</v>
      </c>
      <c r="F82">
        <f>VLOOKUP(C82,机型!A:E,3,0)</f>
        <v>1900</v>
      </c>
      <c r="G82">
        <f>VLOOKUP(C82,机型!A:E,4,0)</f>
        <v>11</v>
      </c>
      <c r="H82">
        <f>VLOOKUP(C82,机型!A:E,5,0)</f>
        <v>314</v>
      </c>
    </row>
    <row r="83" spans="1:8" x14ac:dyDescent="0.25">
      <c r="A83" s="4" t="s">
        <v>23</v>
      </c>
      <c r="B83" t="s">
        <v>12</v>
      </c>
      <c r="C83" t="s">
        <v>9</v>
      </c>
      <c r="E83">
        <f>VLOOKUP(C83,机型!A:E,2,0)</f>
        <v>901.92400000000009</v>
      </c>
      <c r="F83">
        <f>VLOOKUP(C83,机型!A:E,3,0)</f>
        <v>1900</v>
      </c>
      <c r="G83">
        <f>VLOOKUP(C83,机型!A:E,4,0)</f>
        <v>11</v>
      </c>
      <c r="H83">
        <f>VLOOKUP(C83,机型!A:E,5,0)</f>
        <v>314</v>
      </c>
    </row>
    <row r="84" spans="1:8" x14ac:dyDescent="0.25">
      <c r="A84" s="4" t="s">
        <v>23</v>
      </c>
      <c r="B84" t="s">
        <v>12</v>
      </c>
      <c r="C84" t="s">
        <v>57</v>
      </c>
      <c r="E84">
        <f>VLOOKUP(C84,机型!A:E,2,0)</f>
        <v>905</v>
      </c>
      <c r="F84">
        <f>VLOOKUP(C84,机型!A:E,3,0)</f>
        <v>2450</v>
      </c>
      <c r="G84">
        <f>VLOOKUP(C84,机型!A:E,4,0)</f>
        <v>11</v>
      </c>
      <c r="H84">
        <f>VLOOKUP(C84,机型!A:E,5,0)</f>
        <v>305</v>
      </c>
    </row>
    <row r="85" spans="1:8" x14ac:dyDescent="0.25">
      <c r="A85" s="4" t="s">
        <v>23</v>
      </c>
      <c r="B85" t="s">
        <v>12</v>
      </c>
      <c r="C85" t="s">
        <v>9</v>
      </c>
      <c r="E85">
        <f>VLOOKUP(C85,机型!A:E,2,0)</f>
        <v>901.92400000000009</v>
      </c>
      <c r="F85">
        <f>VLOOKUP(C85,机型!A:E,3,0)</f>
        <v>1900</v>
      </c>
      <c r="G85">
        <f>VLOOKUP(C85,机型!A:E,4,0)</f>
        <v>11</v>
      </c>
      <c r="H85">
        <f>VLOOKUP(C85,机型!A:E,5,0)</f>
        <v>314</v>
      </c>
    </row>
    <row r="86" spans="1:8" x14ac:dyDescent="0.25">
      <c r="A86" s="4" t="s">
        <v>23</v>
      </c>
      <c r="B86" t="s">
        <v>12</v>
      </c>
      <c r="C86" t="s">
        <v>9</v>
      </c>
      <c r="E86">
        <f>VLOOKUP(C86,机型!A:E,2,0)</f>
        <v>901.92400000000009</v>
      </c>
      <c r="F86">
        <f>VLOOKUP(C86,机型!A:E,3,0)</f>
        <v>1900</v>
      </c>
      <c r="G86">
        <f>VLOOKUP(C86,机型!A:E,4,0)</f>
        <v>11</v>
      </c>
      <c r="H86">
        <f>VLOOKUP(C86,机型!A:E,5,0)</f>
        <v>314</v>
      </c>
    </row>
    <row r="87" spans="1:8" x14ac:dyDescent="0.25">
      <c r="A87" s="4" t="s">
        <v>23</v>
      </c>
      <c r="B87" t="s">
        <v>12</v>
      </c>
      <c r="C87" t="s">
        <v>64</v>
      </c>
      <c r="E87">
        <f>VLOOKUP(C87,机型!A:E,2,0)</f>
        <v>840</v>
      </c>
      <c r="F87">
        <f>VLOOKUP(C87,机型!A:E,3,0)</f>
        <v>826</v>
      </c>
      <c r="G87">
        <f>VLOOKUP(C87,机型!A:E,4,0)</f>
        <v>7</v>
      </c>
      <c r="H87">
        <f>VLOOKUP(C87,机型!A:E,5,0)</f>
        <v>150</v>
      </c>
    </row>
    <row r="88" spans="1:8" x14ac:dyDescent="0.25">
      <c r="A88" s="4" t="s">
        <v>23</v>
      </c>
      <c r="B88" t="s">
        <v>12</v>
      </c>
      <c r="C88" t="s">
        <v>9</v>
      </c>
      <c r="E88">
        <f>VLOOKUP(C88,机型!A:E,2,0)</f>
        <v>901.92400000000009</v>
      </c>
      <c r="F88">
        <f>VLOOKUP(C88,机型!A:E,3,0)</f>
        <v>1900</v>
      </c>
      <c r="G88">
        <f>VLOOKUP(C88,机型!A:E,4,0)</f>
        <v>11</v>
      </c>
      <c r="H88">
        <f>VLOOKUP(C88,机型!A:E,5,0)</f>
        <v>314</v>
      </c>
    </row>
    <row r="89" spans="1:8" x14ac:dyDescent="0.25">
      <c r="A89" s="4" t="s">
        <v>23</v>
      </c>
      <c r="B89" t="s">
        <v>12</v>
      </c>
      <c r="C89" t="s">
        <v>9</v>
      </c>
      <c r="E89">
        <f>VLOOKUP(C89,机型!A:E,2,0)</f>
        <v>901.92400000000009</v>
      </c>
      <c r="F89">
        <f>VLOOKUP(C89,机型!A:E,3,0)</f>
        <v>1900</v>
      </c>
      <c r="G89">
        <f>VLOOKUP(C89,机型!A:E,4,0)</f>
        <v>11</v>
      </c>
      <c r="H89">
        <f>VLOOKUP(C89,机型!A:E,5,0)</f>
        <v>314</v>
      </c>
    </row>
    <row r="90" spans="1:8" x14ac:dyDescent="0.25">
      <c r="A90" s="4" t="s">
        <v>23</v>
      </c>
      <c r="B90" t="s">
        <v>12</v>
      </c>
      <c r="C90" t="s">
        <v>65</v>
      </c>
      <c r="E90">
        <f>VLOOKUP(C90,机型!A:E,2,0)</f>
        <v>828</v>
      </c>
      <c r="F90">
        <f>VLOOKUP(C90,机型!A:E,3,0)</f>
        <v>650</v>
      </c>
      <c r="G90">
        <f>VLOOKUP(C90,机型!A:E,4,0)</f>
        <v>8</v>
      </c>
      <c r="H90">
        <f>VLOOKUP(C90,机型!A:E,5,0)</f>
        <v>186</v>
      </c>
    </row>
    <row r="91" spans="1:8" x14ac:dyDescent="0.25">
      <c r="A91" s="4" t="s">
        <v>23</v>
      </c>
      <c r="B91" t="s">
        <v>12</v>
      </c>
      <c r="C91" t="s">
        <v>24</v>
      </c>
      <c r="E91">
        <f>VLOOKUP(C91,机型!A:E,2,0)</f>
        <v>828</v>
      </c>
      <c r="F91">
        <f>VLOOKUP(C91,机型!A:E,3,0)</f>
        <v>650</v>
      </c>
      <c r="G91">
        <f>VLOOKUP(C91,机型!A:E,4,0)</f>
        <v>8</v>
      </c>
      <c r="H91">
        <f>VLOOKUP(C91,机型!A:E,5,0)</f>
        <v>186</v>
      </c>
    </row>
    <row r="92" spans="1:8" s="6" customFormat="1" ht="14.4" thickBot="1" x14ac:dyDescent="0.3">
      <c r="A92" s="5" t="s">
        <v>23</v>
      </c>
      <c r="B92" s="6" t="s">
        <v>12</v>
      </c>
      <c r="C92" s="6" t="s">
        <v>19</v>
      </c>
      <c r="D92"/>
      <c r="E92">
        <f>VLOOKUP(C92,机型!A:E,2,0)</f>
        <v>905</v>
      </c>
      <c r="F92">
        <f>VLOOKUP(C92,机型!A:E,3,0)</f>
        <v>2450</v>
      </c>
      <c r="G92">
        <f>VLOOKUP(C92,机型!A:E,4,0)</f>
        <v>11</v>
      </c>
      <c r="H92">
        <f>VLOOKUP(C92,机型!A:E,5,0)</f>
        <v>305</v>
      </c>
    </row>
    <row r="93" spans="1:8" s="3" customFormat="1" x14ac:dyDescent="0.25">
      <c r="A93" s="2" t="s">
        <v>25</v>
      </c>
      <c r="B93" s="3" t="s">
        <v>7</v>
      </c>
      <c r="C93" s="3" t="s">
        <v>55</v>
      </c>
      <c r="D93"/>
      <c r="E93">
        <f>VLOOKUP(C93,机型!A:E,2,0)</f>
        <v>893</v>
      </c>
      <c r="F93">
        <f>VLOOKUP(C93,机型!A:E,3,0)</f>
        <v>2400</v>
      </c>
      <c r="G93">
        <f>VLOOKUP(C93,机型!A:E,4,0)</f>
        <v>12</v>
      </c>
      <c r="H93">
        <f>VLOOKUP(C93,机型!A:E,5,0)</f>
        <v>390</v>
      </c>
    </row>
    <row r="94" spans="1:8" x14ac:dyDescent="0.25">
      <c r="A94" s="4" t="s">
        <v>25</v>
      </c>
      <c r="B94" t="s">
        <v>7</v>
      </c>
      <c r="C94" t="s">
        <v>56</v>
      </c>
      <c r="E94">
        <f>VLOOKUP(C94,机型!A:E,2,0)</f>
        <v>963.04000000000008</v>
      </c>
      <c r="F94">
        <f>VLOOKUP(C94,机型!A:E,3,0)</f>
        <v>3900</v>
      </c>
      <c r="G94">
        <f>VLOOKUP(C94,机型!A:E,4,0)</f>
        <v>16</v>
      </c>
      <c r="H94">
        <f>VLOOKUP(C94,机型!A:E,5,0)</f>
        <v>555</v>
      </c>
    </row>
    <row r="95" spans="1:8" x14ac:dyDescent="0.25">
      <c r="A95" s="4" t="s">
        <v>25</v>
      </c>
      <c r="B95" t="s">
        <v>7</v>
      </c>
      <c r="C95" t="s">
        <v>6</v>
      </c>
      <c r="E95">
        <f>VLOOKUP(C95,机型!A:E,2,0)</f>
        <v>893</v>
      </c>
      <c r="F95">
        <f>VLOOKUP(C95,机型!A:E,3,0)</f>
        <v>2400</v>
      </c>
      <c r="G95">
        <f>VLOOKUP(C95,机型!A:E,4,0)</f>
        <v>12</v>
      </c>
      <c r="H95">
        <f>VLOOKUP(C95,机型!A:E,5,0)</f>
        <v>390</v>
      </c>
    </row>
    <row r="96" spans="1:8" x14ac:dyDescent="0.25">
      <c r="A96" s="4" t="s">
        <v>25</v>
      </c>
      <c r="B96" t="s">
        <v>26</v>
      </c>
      <c r="C96" t="s">
        <v>55</v>
      </c>
      <c r="E96">
        <f>VLOOKUP(C96,机型!A:E,2,0)</f>
        <v>893</v>
      </c>
      <c r="F96">
        <f>VLOOKUP(C96,机型!A:E,3,0)</f>
        <v>2400</v>
      </c>
      <c r="G96">
        <f>VLOOKUP(C96,机型!A:E,4,0)</f>
        <v>12</v>
      </c>
      <c r="H96">
        <f>VLOOKUP(C96,机型!A:E,5,0)</f>
        <v>390</v>
      </c>
    </row>
    <row r="97" spans="1:8" x14ac:dyDescent="0.25">
      <c r="A97" s="4" t="s">
        <v>25</v>
      </c>
      <c r="B97" t="s">
        <v>7</v>
      </c>
      <c r="C97" t="s">
        <v>5</v>
      </c>
      <c r="E97">
        <f>VLOOKUP(C97,机型!A:E,2,0)</f>
        <v>963.04000000000008</v>
      </c>
      <c r="F97">
        <f>VLOOKUP(C97,机型!A:E,3,0)</f>
        <v>3900</v>
      </c>
      <c r="G97">
        <f>VLOOKUP(C97,机型!A:E,4,0)</f>
        <v>16</v>
      </c>
      <c r="H97">
        <f>VLOOKUP(C97,机型!A:E,5,0)</f>
        <v>555</v>
      </c>
    </row>
    <row r="98" spans="1:8" x14ac:dyDescent="0.25">
      <c r="A98" s="4" t="s">
        <v>25</v>
      </c>
      <c r="B98" t="s">
        <v>26</v>
      </c>
      <c r="C98" t="s">
        <v>67</v>
      </c>
      <c r="E98">
        <f>VLOOKUP(C98,机型!A:E,2,0)</f>
        <v>907.48</v>
      </c>
      <c r="F98">
        <f>VLOOKUP(C98,机型!A:E,3,0)</f>
        <v>1750</v>
      </c>
      <c r="G98">
        <f>VLOOKUP(C98,机型!A:E,4,0)</f>
        <v>9</v>
      </c>
      <c r="H98">
        <f>VLOOKUP(C98,机型!A:E,5,0)</f>
        <v>230</v>
      </c>
    </row>
    <row r="99" spans="1:8" x14ac:dyDescent="0.25">
      <c r="A99" s="4" t="s">
        <v>25</v>
      </c>
      <c r="B99" t="s">
        <v>7</v>
      </c>
      <c r="C99" t="s">
        <v>6</v>
      </c>
      <c r="E99">
        <f>VLOOKUP(C99,机型!A:E,2,0)</f>
        <v>893</v>
      </c>
      <c r="F99">
        <f>VLOOKUP(C99,机型!A:E,3,0)</f>
        <v>2400</v>
      </c>
      <c r="G99">
        <f>VLOOKUP(C99,机型!A:E,4,0)</f>
        <v>12</v>
      </c>
      <c r="H99">
        <f>VLOOKUP(C99,机型!A:E,5,0)</f>
        <v>390</v>
      </c>
    </row>
    <row r="100" spans="1:8" x14ac:dyDescent="0.25">
      <c r="A100" s="4" t="s">
        <v>25</v>
      </c>
      <c r="B100" t="s">
        <v>7</v>
      </c>
      <c r="C100" t="s">
        <v>5</v>
      </c>
      <c r="E100">
        <f>VLOOKUP(C100,机型!A:E,2,0)</f>
        <v>963.04000000000008</v>
      </c>
      <c r="F100">
        <f>VLOOKUP(C100,机型!A:E,3,0)</f>
        <v>3900</v>
      </c>
      <c r="G100">
        <f>VLOOKUP(C100,机型!A:E,4,0)</f>
        <v>16</v>
      </c>
      <c r="H100">
        <f>VLOOKUP(C100,机型!A:E,5,0)</f>
        <v>555</v>
      </c>
    </row>
    <row r="101" spans="1:8" x14ac:dyDescent="0.25">
      <c r="A101" s="4" t="s">
        <v>25</v>
      </c>
      <c r="B101" t="s">
        <v>7</v>
      </c>
      <c r="C101" t="s">
        <v>6</v>
      </c>
      <c r="E101">
        <f>VLOOKUP(C101,机型!A:E,2,0)</f>
        <v>893</v>
      </c>
      <c r="F101">
        <f>VLOOKUP(C101,机型!A:E,3,0)</f>
        <v>2400</v>
      </c>
      <c r="G101">
        <f>VLOOKUP(C101,机型!A:E,4,0)</f>
        <v>12</v>
      </c>
      <c r="H101">
        <f>VLOOKUP(C101,机型!A:E,5,0)</f>
        <v>390</v>
      </c>
    </row>
    <row r="102" spans="1:8" x14ac:dyDescent="0.25">
      <c r="A102" s="4" t="s">
        <v>25</v>
      </c>
      <c r="B102" t="s">
        <v>26</v>
      </c>
      <c r="C102" t="s">
        <v>6</v>
      </c>
      <c r="E102">
        <f>VLOOKUP(C102,机型!A:E,2,0)</f>
        <v>893</v>
      </c>
      <c r="F102">
        <f>VLOOKUP(C102,机型!A:E,3,0)</f>
        <v>2400</v>
      </c>
      <c r="G102">
        <f>VLOOKUP(C102,机型!A:E,4,0)</f>
        <v>12</v>
      </c>
      <c r="H102">
        <f>VLOOKUP(C102,机型!A:E,5,0)</f>
        <v>390</v>
      </c>
    </row>
    <row r="103" spans="1:8" x14ac:dyDescent="0.25">
      <c r="A103" s="4" t="s">
        <v>25</v>
      </c>
      <c r="B103" t="s">
        <v>7</v>
      </c>
      <c r="C103" t="s">
        <v>5</v>
      </c>
      <c r="E103">
        <f>VLOOKUP(C103,机型!A:E,2,0)</f>
        <v>963.04000000000008</v>
      </c>
      <c r="F103">
        <f>VLOOKUP(C103,机型!A:E,3,0)</f>
        <v>3900</v>
      </c>
      <c r="G103">
        <f>VLOOKUP(C103,机型!A:E,4,0)</f>
        <v>16</v>
      </c>
      <c r="H103">
        <f>VLOOKUP(C103,机型!A:E,5,0)</f>
        <v>555</v>
      </c>
    </row>
    <row r="104" spans="1:8" x14ac:dyDescent="0.25">
      <c r="A104" s="4" t="s">
        <v>25</v>
      </c>
      <c r="B104" t="s">
        <v>26</v>
      </c>
      <c r="C104" t="s">
        <v>27</v>
      </c>
      <c r="E104">
        <f>VLOOKUP(C104,机型!A:E,2,0)</f>
        <v>907.48</v>
      </c>
      <c r="F104">
        <f>VLOOKUP(C104,机型!A:E,3,0)</f>
        <v>1750</v>
      </c>
      <c r="G104">
        <f>VLOOKUP(C104,机型!A:E,4,0)</f>
        <v>9</v>
      </c>
      <c r="H104">
        <f>VLOOKUP(C104,机型!A:E,5,0)</f>
        <v>230</v>
      </c>
    </row>
    <row r="105" spans="1:8" x14ac:dyDescent="0.25">
      <c r="A105" s="4" t="s">
        <v>25</v>
      </c>
      <c r="B105" t="s">
        <v>7</v>
      </c>
      <c r="C105" t="s">
        <v>6</v>
      </c>
      <c r="E105">
        <f>VLOOKUP(C105,机型!A:E,2,0)</f>
        <v>893</v>
      </c>
      <c r="F105">
        <f>VLOOKUP(C105,机型!A:E,3,0)</f>
        <v>2400</v>
      </c>
      <c r="G105">
        <f>VLOOKUP(C105,机型!A:E,4,0)</f>
        <v>12</v>
      </c>
      <c r="H105">
        <f>VLOOKUP(C105,机型!A:E,5,0)</f>
        <v>390</v>
      </c>
    </row>
    <row r="106" spans="1:8" x14ac:dyDescent="0.25">
      <c r="A106" s="4" t="s">
        <v>25</v>
      </c>
      <c r="B106" t="s">
        <v>7</v>
      </c>
      <c r="C106" t="s">
        <v>5</v>
      </c>
      <c r="E106">
        <f>VLOOKUP(C106,机型!A:E,2,0)</f>
        <v>963.04000000000008</v>
      </c>
      <c r="F106">
        <f>VLOOKUP(C106,机型!A:E,3,0)</f>
        <v>3900</v>
      </c>
      <c r="G106">
        <f>VLOOKUP(C106,机型!A:E,4,0)</f>
        <v>16</v>
      </c>
      <c r="H106">
        <f>VLOOKUP(C106,机型!A:E,5,0)</f>
        <v>555</v>
      </c>
    </row>
    <row r="107" spans="1:8" x14ac:dyDescent="0.25">
      <c r="A107" s="4" t="s">
        <v>25</v>
      </c>
      <c r="B107" t="s">
        <v>7</v>
      </c>
      <c r="C107" t="s">
        <v>6</v>
      </c>
      <c r="E107">
        <f>VLOOKUP(C107,机型!A:E,2,0)</f>
        <v>893</v>
      </c>
      <c r="F107">
        <f>VLOOKUP(C107,机型!A:E,3,0)</f>
        <v>2400</v>
      </c>
      <c r="G107">
        <f>VLOOKUP(C107,机型!A:E,4,0)</f>
        <v>12</v>
      </c>
      <c r="H107">
        <f>VLOOKUP(C107,机型!A:E,5,0)</f>
        <v>390</v>
      </c>
    </row>
    <row r="108" spans="1:8" x14ac:dyDescent="0.25">
      <c r="A108" s="4" t="s">
        <v>25</v>
      </c>
      <c r="B108" t="s">
        <v>26</v>
      </c>
      <c r="C108" t="s">
        <v>6</v>
      </c>
      <c r="E108">
        <f>VLOOKUP(C108,机型!A:E,2,0)</f>
        <v>893</v>
      </c>
      <c r="F108">
        <f>VLOOKUP(C108,机型!A:E,3,0)</f>
        <v>2400</v>
      </c>
      <c r="G108">
        <f>VLOOKUP(C108,机型!A:E,4,0)</f>
        <v>12</v>
      </c>
      <c r="H108">
        <f>VLOOKUP(C108,机型!A:E,5,0)</f>
        <v>390</v>
      </c>
    </row>
    <row r="109" spans="1:8" x14ac:dyDescent="0.25">
      <c r="A109" s="4" t="s">
        <v>25</v>
      </c>
      <c r="B109" t="s">
        <v>7</v>
      </c>
      <c r="C109" t="s">
        <v>5</v>
      </c>
      <c r="E109">
        <f>VLOOKUP(C109,机型!A:E,2,0)</f>
        <v>963.04000000000008</v>
      </c>
      <c r="F109">
        <f>VLOOKUP(C109,机型!A:E,3,0)</f>
        <v>3900</v>
      </c>
      <c r="G109">
        <f>VLOOKUP(C109,机型!A:E,4,0)</f>
        <v>16</v>
      </c>
      <c r="H109">
        <f>VLOOKUP(C109,机型!A:E,5,0)</f>
        <v>555</v>
      </c>
    </row>
    <row r="110" spans="1:8" s="6" customFormat="1" ht="14.4" thickBot="1" x14ac:dyDescent="0.3">
      <c r="A110" s="5" t="s">
        <v>25</v>
      </c>
      <c r="B110" s="6" t="s">
        <v>26</v>
      </c>
      <c r="C110" s="6" t="s">
        <v>27</v>
      </c>
      <c r="D110"/>
      <c r="E110">
        <f>VLOOKUP(C110,机型!A:E,2,0)</f>
        <v>907.48</v>
      </c>
      <c r="F110">
        <f>VLOOKUP(C110,机型!A:E,3,0)</f>
        <v>1750</v>
      </c>
      <c r="G110">
        <f>VLOOKUP(C110,机型!A:E,4,0)</f>
        <v>9</v>
      </c>
      <c r="H110">
        <f>VLOOKUP(C110,机型!A:E,5,0)</f>
        <v>230</v>
      </c>
    </row>
    <row r="111" spans="1:8" s="3" customFormat="1" x14ac:dyDescent="0.25">
      <c r="A111" s="2" t="s">
        <v>28</v>
      </c>
      <c r="B111" s="3" t="s">
        <v>4</v>
      </c>
      <c r="C111" s="3" t="s">
        <v>55</v>
      </c>
      <c r="D111"/>
      <c r="E111">
        <f>VLOOKUP(C111,机型!A:E,2,0)</f>
        <v>893</v>
      </c>
      <c r="F111">
        <f>VLOOKUP(C111,机型!A:E,3,0)</f>
        <v>2400</v>
      </c>
      <c r="G111">
        <f>VLOOKUP(C111,机型!A:E,4,0)</f>
        <v>12</v>
      </c>
      <c r="H111">
        <f>VLOOKUP(C111,机型!A:E,5,0)</f>
        <v>390</v>
      </c>
    </row>
    <row r="112" spans="1:8" x14ac:dyDescent="0.25">
      <c r="A112" s="4" t="s">
        <v>28</v>
      </c>
      <c r="B112" t="s">
        <v>4</v>
      </c>
      <c r="C112" t="s">
        <v>56</v>
      </c>
      <c r="E112">
        <f>VLOOKUP(C112,机型!A:E,2,0)</f>
        <v>963.04000000000008</v>
      </c>
      <c r="F112">
        <f>VLOOKUP(C112,机型!A:E,3,0)</f>
        <v>3900</v>
      </c>
      <c r="G112">
        <f>VLOOKUP(C112,机型!A:E,4,0)</f>
        <v>16</v>
      </c>
      <c r="H112">
        <f>VLOOKUP(C112,机型!A:E,5,0)</f>
        <v>555</v>
      </c>
    </row>
    <row r="113" spans="1:8" x14ac:dyDescent="0.25">
      <c r="A113" s="4" t="s">
        <v>28</v>
      </c>
      <c r="B113" t="s">
        <v>4</v>
      </c>
      <c r="C113" t="s">
        <v>6</v>
      </c>
      <c r="E113">
        <f>VLOOKUP(C113,机型!A:E,2,0)</f>
        <v>893</v>
      </c>
      <c r="F113">
        <f>VLOOKUP(C113,机型!A:E,3,0)</f>
        <v>2400</v>
      </c>
      <c r="G113">
        <f>VLOOKUP(C113,机型!A:E,4,0)</f>
        <v>12</v>
      </c>
      <c r="H113">
        <f>VLOOKUP(C113,机型!A:E,5,0)</f>
        <v>390</v>
      </c>
    </row>
    <row r="114" spans="1:8" x14ac:dyDescent="0.25">
      <c r="A114" s="4" t="s">
        <v>28</v>
      </c>
      <c r="B114" t="s">
        <v>4</v>
      </c>
      <c r="C114" t="s">
        <v>58</v>
      </c>
      <c r="E114">
        <f>VLOOKUP(C114,机型!A:E,2,0)</f>
        <v>901.92400000000009</v>
      </c>
      <c r="F114">
        <f>VLOOKUP(C114,机型!A:E,3,0)</f>
        <v>1900</v>
      </c>
      <c r="G114">
        <f>VLOOKUP(C114,机型!A:E,4,0)</f>
        <v>11</v>
      </c>
      <c r="H114">
        <f>VLOOKUP(C114,机型!A:E,5,0)</f>
        <v>314</v>
      </c>
    </row>
    <row r="115" spans="1:8" x14ac:dyDescent="0.25">
      <c r="A115" s="4" t="s">
        <v>28</v>
      </c>
      <c r="B115" t="s">
        <v>4</v>
      </c>
      <c r="C115" t="s">
        <v>6</v>
      </c>
      <c r="E115">
        <f>VLOOKUP(C115,机型!A:E,2,0)</f>
        <v>893</v>
      </c>
      <c r="F115">
        <f>VLOOKUP(C115,机型!A:E,3,0)</f>
        <v>2400</v>
      </c>
      <c r="G115">
        <f>VLOOKUP(C115,机型!A:E,4,0)</f>
        <v>12</v>
      </c>
      <c r="H115">
        <f>VLOOKUP(C115,机型!A:E,5,0)</f>
        <v>390</v>
      </c>
    </row>
    <row r="116" spans="1:8" x14ac:dyDescent="0.25">
      <c r="A116" s="4" t="s">
        <v>28</v>
      </c>
      <c r="B116" t="s">
        <v>10</v>
      </c>
      <c r="C116" t="s">
        <v>63</v>
      </c>
      <c r="E116">
        <f>VLOOKUP(C116,机型!A:E,2,0)</f>
        <v>913</v>
      </c>
      <c r="F116">
        <f>VLOOKUP(C116,机型!A:E,3,0)</f>
        <v>1750</v>
      </c>
      <c r="G116">
        <f>VLOOKUP(C116,机型!A:E,4,0)</f>
        <v>9</v>
      </c>
      <c r="H116">
        <f>VLOOKUP(C116,机型!A:E,5,0)</f>
        <v>230</v>
      </c>
    </row>
    <row r="117" spans="1:8" x14ac:dyDescent="0.25">
      <c r="A117" s="4" t="s">
        <v>28</v>
      </c>
      <c r="B117" t="s">
        <v>4</v>
      </c>
      <c r="C117" t="s">
        <v>6</v>
      </c>
      <c r="E117">
        <f>VLOOKUP(C117,机型!A:E,2,0)</f>
        <v>893</v>
      </c>
      <c r="F117">
        <f>VLOOKUP(C117,机型!A:E,3,0)</f>
        <v>2400</v>
      </c>
      <c r="G117">
        <f>VLOOKUP(C117,机型!A:E,4,0)</f>
        <v>12</v>
      </c>
      <c r="H117">
        <f>VLOOKUP(C117,机型!A:E,5,0)</f>
        <v>390</v>
      </c>
    </row>
    <row r="118" spans="1:8" x14ac:dyDescent="0.25">
      <c r="A118" s="4" t="s">
        <v>28</v>
      </c>
      <c r="B118" t="s">
        <v>4</v>
      </c>
      <c r="C118" t="s">
        <v>5</v>
      </c>
      <c r="E118">
        <f>VLOOKUP(C118,机型!A:E,2,0)</f>
        <v>963.04000000000008</v>
      </c>
      <c r="F118">
        <f>VLOOKUP(C118,机型!A:E,3,0)</f>
        <v>3900</v>
      </c>
      <c r="G118">
        <f>VLOOKUP(C118,机型!A:E,4,0)</f>
        <v>16</v>
      </c>
      <c r="H118">
        <f>VLOOKUP(C118,机型!A:E,5,0)</f>
        <v>555</v>
      </c>
    </row>
    <row r="119" spans="1:8" x14ac:dyDescent="0.25">
      <c r="A119" s="4" t="s">
        <v>28</v>
      </c>
      <c r="B119" t="s">
        <v>4</v>
      </c>
      <c r="C119" t="s">
        <v>6</v>
      </c>
      <c r="E119">
        <f>VLOOKUP(C119,机型!A:E,2,0)</f>
        <v>893</v>
      </c>
      <c r="F119">
        <f>VLOOKUP(C119,机型!A:E,3,0)</f>
        <v>2400</v>
      </c>
      <c r="G119">
        <f>VLOOKUP(C119,机型!A:E,4,0)</f>
        <v>12</v>
      </c>
      <c r="H119">
        <f>VLOOKUP(C119,机型!A:E,5,0)</f>
        <v>390</v>
      </c>
    </row>
    <row r="120" spans="1:8" x14ac:dyDescent="0.25">
      <c r="A120" s="4" t="s">
        <v>28</v>
      </c>
      <c r="B120" t="s">
        <v>4</v>
      </c>
      <c r="C120" t="s">
        <v>9</v>
      </c>
      <c r="E120">
        <f>VLOOKUP(C120,机型!A:E,2,0)</f>
        <v>901.92400000000009</v>
      </c>
      <c r="F120">
        <f>VLOOKUP(C120,机型!A:E,3,0)</f>
        <v>1900</v>
      </c>
      <c r="G120">
        <f>VLOOKUP(C120,机型!A:E,4,0)</f>
        <v>11</v>
      </c>
      <c r="H120">
        <f>VLOOKUP(C120,机型!A:E,5,0)</f>
        <v>314</v>
      </c>
    </row>
    <row r="121" spans="1:8" x14ac:dyDescent="0.25">
      <c r="A121" s="4" t="s">
        <v>28</v>
      </c>
      <c r="B121" t="s">
        <v>4</v>
      </c>
      <c r="C121" t="s">
        <v>6</v>
      </c>
      <c r="E121">
        <f>VLOOKUP(C121,机型!A:E,2,0)</f>
        <v>893</v>
      </c>
      <c r="F121">
        <f>VLOOKUP(C121,机型!A:E,3,0)</f>
        <v>2400</v>
      </c>
      <c r="G121">
        <f>VLOOKUP(C121,机型!A:E,4,0)</f>
        <v>12</v>
      </c>
      <c r="H121">
        <f>VLOOKUP(C121,机型!A:E,5,0)</f>
        <v>390</v>
      </c>
    </row>
    <row r="122" spans="1:8" x14ac:dyDescent="0.25">
      <c r="A122" s="4" t="s">
        <v>28</v>
      </c>
      <c r="B122" t="s">
        <v>10</v>
      </c>
      <c r="C122" t="s">
        <v>29</v>
      </c>
      <c r="E122">
        <f>VLOOKUP(C122,机型!A:E,2,0)</f>
        <v>913</v>
      </c>
      <c r="F122">
        <f>VLOOKUP(C122,机型!A:E,3,0)</f>
        <v>1750</v>
      </c>
      <c r="G122">
        <f>VLOOKUP(C122,机型!A:E,4,0)</f>
        <v>9</v>
      </c>
      <c r="H122">
        <f>VLOOKUP(C122,机型!A:E,5,0)</f>
        <v>230</v>
      </c>
    </row>
    <row r="123" spans="1:8" x14ac:dyDescent="0.25">
      <c r="A123" s="4" t="s">
        <v>28</v>
      </c>
      <c r="B123" t="s">
        <v>4</v>
      </c>
      <c r="C123" t="s">
        <v>6</v>
      </c>
      <c r="E123">
        <f>VLOOKUP(C123,机型!A:E,2,0)</f>
        <v>893</v>
      </c>
      <c r="F123">
        <f>VLOOKUP(C123,机型!A:E,3,0)</f>
        <v>2400</v>
      </c>
      <c r="G123">
        <f>VLOOKUP(C123,机型!A:E,4,0)</f>
        <v>12</v>
      </c>
      <c r="H123">
        <f>VLOOKUP(C123,机型!A:E,5,0)</f>
        <v>390</v>
      </c>
    </row>
    <row r="124" spans="1:8" x14ac:dyDescent="0.25">
      <c r="A124" s="4" t="s">
        <v>28</v>
      </c>
      <c r="B124" t="s">
        <v>4</v>
      </c>
      <c r="C124" t="s">
        <v>5</v>
      </c>
      <c r="E124">
        <f>VLOOKUP(C124,机型!A:E,2,0)</f>
        <v>963.04000000000008</v>
      </c>
      <c r="F124">
        <f>VLOOKUP(C124,机型!A:E,3,0)</f>
        <v>3900</v>
      </c>
      <c r="G124">
        <f>VLOOKUP(C124,机型!A:E,4,0)</f>
        <v>16</v>
      </c>
      <c r="H124">
        <f>VLOOKUP(C124,机型!A:E,5,0)</f>
        <v>555</v>
      </c>
    </row>
    <row r="125" spans="1:8" x14ac:dyDescent="0.25">
      <c r="A125" s="4" t="s">
        <v>28</v>
      </c>
      <c r="B125" t="s">
        <v>4</v>
      </c>
      <c r="C125" t="s">
        <v>6</v>
      </c>
      <c r="E125">
        <f>VLOOKUP(C125,机型!A:E,2,0)</f>
        <v>893</v>
      </c>
      <c r="F125">
        <f>VLOOKUP(C125,机型!A:E,3,0)</f>
        <v>2400</v>
      </c>
      <c r="G125">
        <f>VLOOKUP(C125,机型!A:E,4,0)</f>
        <v>12</v>
      </c>
      <c r="H125">
        <f>VLOOKUP(C125,机型!A:E,5,0)</f>
        <v>390</v>
      </c>
    </row>
    <row r="126" spans="1:8" x14ac:dyDescent="0.25">
      <c r="A126" s="4" t="s">
        <v>28</v>
      </c>
      <c r="B126" t="s">
        <v>4</v>
      </c>
      <c r="C126" t="s">
        <v>9</v>
      </c>
      <c r="E126">
        <f>VLOOKUP(C126,机型!A:E,2,0)</f>
        <v>901.92400000000009</v>
      </c>
      <c r="F126">
        <f>VLOOKUP(C126,机型!A:E,3,0)</f>
        <v>1900</v>
      </c>
      <c r="G126">
        <f>VLOOKUP(C126,机型!A:E,4,0)</f>
        <v>11</v>
      </c>
      <c r="H126">
        <f>VLOOKUP(C126,机型!A:E,5,0)</f>
        <v>314</v>
      </c>
    </row>
    <row r="127" spans="1:8" x14ac:dyDescent="0.25">
      <c r="A127" s="4" t="s">
        <v>28</v>
      </c>
      <c r="B127" t="s">
        <v>4</v>
      </c>
      <c r="C127" t="s">
        <v>6</v>
      </c>
      <c r="E127">
        <f>VLOOKUP(C127,机型!A:E,2,0)</f>
        <v>893</v>
      </c>
      <c r="F127">
        <f>VLOOKUP(C127,机型!A:E,3,0)</f>
        <v>2400</v>
      </c>
      <c r="G127">
        <f>VLOOKUP(C127,机型!A:E,4,0)</f>
        <v>12</v>
      </c>
      <c r="H127">
        <f>VLOOKUP(C127,机型!A:E,5,0)</f>
        <v>390</v>
      </c>
    </row>
    <row r="128" spans="1:8" s="6" customFormat="1" ht="14.4" thickBot="1" x14ac:dyDescent="0.3">
      <c r="A128" s="5" t="s">
        <v>28</v>
      </c>
      <c r="B128" s="6" t="s">
        <v>10</v>
      </c>
      <c r="C128" s="6" t="s">
        <v>29</v>
      </c>
      <c r="D128"/>
      <c r="E128">
        <f>VLOOKUP(C128,机型!A:E,2,0)</f>
        <v>913</v>
      </c>
      <c r="F128">
        <f>VLOOKUP(C128,机型!A:E,3,0)</f>
        <v>1750</v>
      </c>
      <c r="G128">
        <f>VLOOKUP(C128,机型!A:E,4,0)</f>
        <v>9</v>
      </c>
      <c r="H128">
        <f>VLOOKUP(C128,机型!A:E,5,0)</f>
        <v>230</v>
      </c>
    </row>
    <row r="129" spans="1:8" x14ac:dyDescent="0.25">
      <c r="A129" t="s">
        <v>30</v>
      </c>
      <c r="B129" t="s">
        <v>4</v>
      </c>
      <c r="C129" t="s">
        <v>56</v>
      </c>
      <c r="E129">
        <f>VLOOKUP(C129,机型!A:E,2,0)</f>
        <v>963.04000000000008</v>
      </c>
      <c r="F129">
        <f>VLOOKUP(C129,机型!A:E,3,0)</f>
        <v>3900</v>
      </c>
      <c r="G129">
        <f>VLOOKUP(C129,机型!A:E,4,0)</f>
        <v>16</v>
      </c>
      <c r="H129">
        <f>VLOOKUP(C129,机型!A:E,5,0)</f>
        <v>555</v>
      </c>
    </row>
    <row r="130" spans="1:8" x14ac:dyDescent="0.25">
      <c r="A130" t="s">
        <v>30</v>
      </c>
      <c r="B130" t="s">
        <v>4</v>
      </c>
      <c r="C130" t="s">
        <v>5</v>
      </c>
      <c r="E130">
        <f>VLOOKUP(C130,机型!A:E,2,0)</f>
        <v>963.04000000000008</v>
      </c>
      <c r="F130">
        <f>VLOOKUP(C130,机型!A:E,3,0)</f>
        <v>3900</v>
      </c>
      <c r="G130">
        <f>VLOOKUP(C130,机型!A:E,4,0)</f>
        <v>16</v>
      </c>
      <c r="H130">
        <f>VLOOKUP(C130,机型!A:E,5,0)</f>
        <v>555</v>
      </c>
    </row>
    <row r="131" spans="1:8" x14ac:dyDescent="0.25">
      <c r="A131" t="s">
        <v>30</v>
      </c>
      <c r="B131" t="s">
        <v>4</v>
      </c>
      <c r="C131" t="s">
        <v>5</v>
      </c>
      <c r="E131">
        <f>VLOOKUP(C131,机型!A:E,2,0)</f>
        <v>963.04000000000008</v>
      </c>
      <c r="F131">
        <f>VLOOKUP(C131,机型!A:E,3,0)</f>
        <v>3900</v>
      </c>
      <c r="G131">
        <f>VLOOKUP(C131,机型!A:E,4,0)</f>
        <v>16</v>
      </c>
      <c r="H131">
        <f>VLOOKUP(C131,机型!A:E,5,0)</f>
        <v>555</v>
      </c>
    </row>
    <row r="132" spans="1:8" x14ac:dyDescent="0.25">
      <c r="A132" t="s">
        <v>30</v>
      </c>
      <c r="B132" t="s">
        <v>4</v>
      </c>
      <c r="C132" t="s">
        <v>5</v>
      </c>
      <c r="E132">
        <f>VLOOKUP(C132,机型!A:E,2,0)</f>
        <v>963.04000000000008</v>
      </c>
      <c r="F132">
        <f>VLOOKUP(C132,机型!A:E,3,0)</f>
        <v>3900</v>
      </c>
      <c r="G132">
        <f>VLOOKUP(C132,机型!A:E,4,0)</f>
        <v>16</v>
      </c>
      <c r="H132">
        <f>VLOOKUP(C132,机型!A:E,5,0)</f>
        <v>555</v>
      </c>
    </row>
    <row r="133" spans="1:8" x14ac:dyDescent="0.25">
      <c r="A133" t="s">
        <v>30</v>
      </c>
      <c r="B133" t="s">
        <v>4</v>
      </c>
      <c r="C133" t="s">
        <v>9</v>
      </c>
      <c r="E133">
        <f>VLOOKUP(C133,机型!A:E,2,0)</f>
        <v>901.92400000000009</v>
      </c>
      <c r="F133">
        <f>VLOOKUP(C133,机型!A:E,3,0)</f>
        <v>1900</v>
      </c>
      <c r="G133">
        <f>VLOOKUP(C133,机型!A:E,4,0)</f>
        <v>11</v>
      </c>
      <c r="H133">
        <f>VLOOKUP(C133,机型!A:E,5,0)</f>
        <v>314</v>
      </c>
    </row>
    <row r="134" spans="1:8" x14ac:dyDescent="0.25">
      <c r="A134" t="s">
        <v>30</v>
      </c>
      <c r="B134" t="s">
        <v>4</v>
      </c>
      <c r="C134" t="s">
        <v>5</v>
      </c>
      <c r="E134">
        <f>VLOOKUP(C134,机型!A:E,2,0)</f>
        <v>963.04000000000008</v>
      </c>
      <c r="F134">
        <f>VLOOKUP(C134,机型!A:E,3,0)</f>
        <v>3900</v>
      </c>
      <c r="G134">
        <f>VLOOKUP(C134,机型!A:E,4,0)</f>
        <v>16</v>
      </c>
      <c r="H134">
        <f>VLOOKUP(C134,机型!A:E,5,0)</f>
        <v>555</v>
      </c>
    </row>
    <row r="135" spans="1:8" x14ac:dyDescent="0.25">
      <c r="A135" t="s">
        <v>30</v>
      </c>
      <c r="B135" t="s">
        <v>7</v>
      </c>
      <c r="C135" t="s">
        <v>56</v>
      </c>
      <c r="E135">
        <f>VLOOKUP(C135,机型!A:E,2,0)</f>
        <v>963.04000000000008</v>
      </c>
      <c r="F135">
        <f>VLOOKUP(C135,机型!A:E,3,0)</f>
        <v>3900</v>
      </c>
      <c r="G135">
        <f>VLOOKUP(C135,机型!A:E,4,0)</f>
        <v>16</v>
      </c>
      <c r="H135">
        <f>VLOOKUP(C135,机型!A:E,5,0)</f>
        <v>555</v>
      </c>
    </row>
    <row r="136" spans="1:8" x14ac:dyDescent="0.25">
      <c r="A136" t="s">
        <v>30</v>
      </c>
      <c r="B136" t="s">
        <v>20</v>
      </c>
      <c r="C136" t="s">
        <v>58</v>
      </c>
      <c r="E136">
        <f>VLOOKUP(C136,机型!A:E,2,0)</f>
        <v>901.92400000000009</v>
      </c>
      <c r="F136">
        <f>VLOOKUP(C136,机型!A:E,3,0)</f>
        <v>1900</v>
      </c>
      <c r="G136">
        <f>VLOOKUP(C136,机型!A:E,4,0)</f>
        <v>11</v>
      </c>
      <c r="H136">
        <f>VLOOKUP(C136,机型!A:E,5,0)</f>
        <v>314</v>
      </c>
    </row>
    <row r="137" spans="1:8" x14ac:dyDescent="0.25">
      <c r="A137" t="s">
        <v>30</v>
      </c>
      <c r="B137" t="s">
        <v>4</v>
      </c>
      <c r="C137" t="s">
        <v>5</v>
      </c>
      <c r="E137">
        <f>VLOOKUP(C137,机型!A:E,2,0)</f>
        <v>963.04000000000008</v>
      </c>
      <c r="F137">
        <f>VLOOKUP(C137,机型!A:E,3,0)</f>
        <v>3900</v>
      </c>
      <c r="G137">
        <f>VLOOKUP(C137,机型!A:E,4,0)</f>
        <v>16</v>
      </c>
      <c r="H137">
        <f>VLOOKUP(C137,机型!A:E,5,0)</f>
        <v>555</v>
      </c>
    </row>
    <row r="138" spans="1:8" x14ac:dyDescent="0.25">
      <c r="A138" t="s">
        <v>30</v>
      </c>
      <c r="B138" t="s">
        <v>4</v>
      </c>
      <c r="C138" t="s">
        <v>5</v>
      </c>
      <c r="E138">
        <f>VLOOKUP(C138,机型!A:E,2,0)</f>
        <v>963.04000000000008</v>
      </c>
      <c r="F138">
        <f>VLOOKUP(C138,机型!A:E,3,0)</f>
        <v>3900</v>
      </c>
      <c r="G138">
        <f>VLOOKUP(C138,机型!A:E,4,0)</f>
        <v>16</v>
      </c>
      <c r="H138">
        <f>VLOOKUP(C138,机型!A:E,5,0)</f>
        <v>555</v>
      </c>
    </row>
    <row r="139" spans="1:8" x14ac:dyDescent="0.25">
      <c r="A139" t="s">
        <v>30</v>
      </c>
      <c r="B139" t="s">
        <v>13</v>
      </c>
      <c r="C139" t="s">
        <v>9</v>
      </c>
      <c r="E139">
        <f>VLOOKUP(C139,机型!A:E,2,0)</f>
        <v>901.92400000000009</v>
      </c>
      <c r="F139">
        <f>VLOOKUP(C139,机型!A:E,3,0)</f>
        <v>1900</v>
      </c>
      <c r="G139">
        <f>VLOOKUP(C139,机型!A:E,4,0)</f>
        <v>11</v>
      </c>
      <c r="H139">
        <f>VLOOKUP(C139,机型!A:E,5,0)</f>
        <v>314</v>
      </c>
    </row>
    <row r="140" spans="1:8" x14ac:dyDescent="0.25">
      <c r="A140" t="s">
        <v>30</v>
      </c>
      <c r="B140" t="s">
        <v>4</v>
      </c>
      <c r="C140" t="s">
        <v>5</v>
      </c>
      <c r="E140">
        <f>VLOOKUP(C140,机型!A:E,2,0)</f>
        <v>963.04000000000008</v>
      </c>
      <c r="F140">
        <f>VLOOKUP(C140,机型!A:E,3,0)</f>
        <v>3900</v>
      </c>
      <c r="G140">
        <f>VLOOKUP(C140,机型!A:E,4,0)</f>
        <v>16</v>
      </c>
      <c r="H140">
        <f>VLOOKUP(C140,机型!A:E,5,0)</f>
        <v>555</v>
      </c>
    </row>
    <row r="141" spans="1:8" x14ac:dyDescent="0.25">
      <c r="A141" t="s">
        <v>30</v>
      </c>
      <c r="B141" t="s">
        <v>4</v>
      </c>
      <c r="C141" t="s">
        <v>55</v>
      </c>
      <c r="E141">
        <f>VLOOKUP(C141,机型!A:E,2,0)</f>
        <v>893</v>
      </c>
      <c r="F141">
        <f>VLOOKUP(C141,机型!A:E,3,0)</f>
        <v>2400</v>
      </c>
      <c r="G141">
        <f>VLOOKUP(C141,机型!A:E,4,0)</f>
        <v>12</v>
      </c>
      <c r="H141">
        <f>VLOOKUP(C141,机型!A:E,5,0)</f>
        <v>390</v>
      </c>
    </row>
    <row r="142" spans="1:8" x14ac:dyDescent="0.25">
      <c r="A142" t="s">
        <v>30</v>
      </c>
      <c r="B142" t="s">
        <v>4</v>
      </c>
      <c r="C142" t="s">
        <v>5</v>
      </c>
      <c r="E142">
        <f>VLOOKUP(C142,机型!A:E,2,0)</f>
        <v>963.04000000000008</v>
      </c>
      <c r="F142">
        <f>VLOOKUP(C142,机型!A:E,3,0)</f>
        <v>3900</v>
      </c>
      <c r="G142">
        <f>VLOOKUP(C142,机型!A:E,4,0)</f>
        <v>16</v>
      </c>
      <c r="H142">
        <f>VLOOKUP(C142,机型!A:E,5,0)</f>
        <v>555</v>
      </c>
    </row>
    <row r="143" spans="1:8" x14ac:dyDescent="0.25">
      <c r="A143" t="s">
        <v>30</v>
      </c>
      <c r="B143" t="s">
        <v>13</v>
      </c>
      <c r="C143" t="s">
        <v>58</v>
      </c>
      <c r="E143">
        <f>VLOOKUP(C143,机型!A:E,2,0)</f>
        <v>901.92400000000009</v>
      </c>
      <c r="F143">
        <f>VLOOKUP(C143,机型!A:E,3,0)</f>
        <v>1900</v>
      </c>
      <c r="G143">
        <f>VLOOKUP(C143,机型!A:E,4,0)</f>
        <v>11</v>
      </c>
      <c r="H143">
        <f>VLOOKUP(C143,机型!A:E,5,0)</f>
        <v>314</v>
      </c>
    </row>
    <row r="144" spans="1:8" x14ac:dyDescent="0.25">
      <c r="A144" t="s">
        <v>30</v>
      </c>
      <c r="B144" t="s">
        <v>4</v>
      </c>
      <c r="C144" t="s">
        <v>5</v>
      </c>
      <c r="E144">
        <f>VLOOKUP(C144,机型!A:E,2,0)</f>
        <v>963.04000000000008</v>
      </c>
      <c r="F144">
        <f>VLOOKUP(C144,机型!A:E,3,0)</f>
        <v>3900</v>
      </c>
      <c r="G144">
        <f>VLOOKUP(C144,机型!A:E,4,0)</f>
        <v>16</v>
      </c>
      <c r="H144">
        <f>VLOOKUP(C144,机型!A:E,5,0)</f>
        <v>555</v>
      </c>
    </row>
    <row r="145" spans="1:8" x14ac:dyDescent="0.25">
      <c r="A145" t="s">
        <v>30</v>
      </c>
      <c r="B145" t="s">
        <v>12</v>
      </c>
      <c r="C145" t="s">
        <v>66</v>
      </c>
      <c r="E145">
        <f>VLOOKUP(C145,机型!A:E,2,0)</f>
        <v>901.92400000000009</v>
      </c>
      <c r="F145">
        <f>VLOOKUP(C145,机型!A:E,3,0)</f>
        <v>1850</v>
      </c>
      <c r="G145">
        <f>VLOOKUP(C145,机型!A:E,4,0)</f>
        <v>11</v>
      </c>
      <c r="H145">
        <f>VLOOKUP(C145,机型!A:E,5,0)</f>
        <v>350</v>
      </c>
    </row>
    <row r="146" spans="1:8" x14ac:dyDescent="0.25">
      <c r="A146" t="s">
        <v>30</v>
      </c>
      <c r="B146" t="s">
        <v>4</v>
      </c>
      <c r="C146" t="s">
        <v>9</v>
      </c>
      <c r="E146">
        <f>VLOOKUP(C146,机型!A:E,2,0)</f>
        <v>901.92400000000009</v>
      </c>
      <c r="F146">
        <f>VLOOKUP(C146,机型!A:E,3,0)</f>
        <v>1900</v>
      </c>
      <c r="G146">
        <f>VLOOKUP(C146,机型!A:E,4,0)</f>
        <v>11</v>
      </c>
      <c r="H146">
        <f>VLOOKUP(C146,机型!A:E,5,0)</f>
        <v>314</v>
      </c>
    </row>
    <row r="147" spans="1:8" x14ac:dyDescent="0.25">
      <c r="A147" t="s">
        <v>30</v>
      </c>
      <c r="B147" t="s">
        <v>4</v>
      </c>
      <c r="C147" t="s">
        <v>5</v>
      </c>
      <c r="E147">
        <f>VLOOKUP(C147,机型!A:E,2,0)</f>
        <v>963.04000000000008</v>
      </c>
      <c r="F147">
        <f>VLOOKUP(C147,机型!A:E,3,0)</f>
        <v>3900</v>
      </c>
      <c r="G147">
        <f>VLOOKUP(C147,机型!A:E,4,0)</f>
        <v>16</v>
      </c>
      <c r="H147">
        <f>VLOOKUP(C147,机型!A:E,5,0)</f>
        <v>555</v>
      </c>
    </row>
    <row r="148" spans="1:8" x14ac:dyDescent="0.25">
      <c r="A148" t="s">
        <v>30</v>
      </c>
      <c r="B148" t="s">
        <v>7</v>
      </c>
      <c r="C148" t="s">
        <v>58</v>
      </c>
      <c r="E148">
        <f>VLOOKUP(C148,机型!A:E,2,0)</f>
        <v>901.92400000000009</v>
      </c>
      <c r="F148">
        <f>VLOOKUP(C148,机型!A:E,3,0)</f>
        <v>1900</v>
      </c>
      <c r="G148">
        <f>VLOOKUP(C148,机型!A:E,4,0)</f>
        <v>11</v>
      </c>
      <c r="H148">
        <f>VLOOKUP(C148,机型!A:E,5,0)</f>
        <v>314</v>
      </c>
    </row>
    <row r="149" spans="1:8" x14ac:dyDescent="0.25">
      <c r="A149" t="s">
        <v>30</v>
      </c>
      <c r="B149" t="s">
        <v>4</v>
      </c>
      <c r="C149" t="s">
        <v>5</v>
      </c>
      <c r="E149">
        <f>VLOOKUP(C149,机型!A:E,2,0)</f>
        <v>963.04000000000008</v>
      </c>
      <c r="F149">
        <f>VLOOKUP(C149,机型!A:E,3,0)</f>
        <v>3900</v>
      </c>
      <c r="G149">
        <f>VLOOKUP(C149,机型!A:E,4,0)</f>
        <v>16</v>
      </c>
      <c r="H149">
        <f>VLOOKUP(C149,机型!A:E,5,0)</f>
        <v>555</v>
      </c>
    </row>
  </sheetData>
  <autoFilter ref="A1:A149" xr:uid="{7E1025C9-090B-4F46-88BB-13BE00A0C4BC}"/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AC06-3CA9-4530-980F-7FC46B9E6410}">
  <dimension ref="A1:H79"/>
  <sheetViews>
    <sheetView tabSelected="1" workbookViewId="0">
      <selection activeCell="A2" sqref="A2"/>
    </sheetView>
  </sheetViews>
  <sheetFormatPr defaultRowHeight="13.8" x14ac:dyDescent="0.25"/>
  <cols>
    <col min="1" max="1" width="10.5546875" bestFit="1" customWidth="1"/>
    <col min="2" max="2" width="17.44140625" bestFit="1" customWidth="1"/>
    <col min="4" max="4" width="30" customWidth="1"/>
    <col min="5" max="5" width="19.33203125" bestFit="1" customWidth="1"/>
    <col min="6" max="6" width="22.109375" bestFit="1" customWidth="1"/>
    <col min="7" max="7" width="20.44140625" bestFit="1" customWidth="1"/>
    <col min="8" max="8" width="18.77734375" bestFit="1" customWidth="1"/>
  </cols>
  <sheetData>
    <row r="1" spans="1:8" s="11" customFormat="1" ht="14.4" thickBot="1" x14ac:dyDescent="0.3">
      <c r="A1" s="11" t="s">
        <v>0</v>
      </c>
      <c r="B1" s="11" t="s">
        <v>1</v>
      </c>
      <c r="C1" s="11" t="s">
        <v>69</v>
      </c>
      <c r="D1" s="11" t="s">
        <v>2</v>
      </c>
      <c r="E1" s="11" t="s">
        <v>34</v>
      </c>
      <c r="F1" s="11" t="s">
        <v>38</v>
      </c>
      <c r="G1" s="11" t="s">
        <v>35</v>
      </c>
      <c r="H1" s="11" t="s">
        <v>36</v>
      </c>
    </row>
    <row r="2" spans="1:8" s="3" customFormat="1" x14ac:dyDescent="0.25">
      <c r="A2" s="3" t="s">
        <v>3</v>
      </c>
      <c r="B2" s="3" t="s">
        <v>4</v>
      </c>
      <c r="C2" s="3" t="s">
        <v>70</v>
      </c>
      <c r="D2" s="3" t="s">
        <v>5</v>
      </c>
      <c r="E2" s="3">
        <f>VLOOKUP(D2,机型!A:E,2,0)</f>
        <v>963.04000000000008</v>
      </c>
      <c r="F2" s="3">
        <f>VLOOKUP(D2,机型!A:E,3,0)</f>
        <v>3900</v>
      </c>
      <c r="G2" s="3">
        <f>VLOOKUP(D2,机型!A:E,4,0)</f>
        <v>16</v>
      </c>
      <c r="H2" s="3">
        <f>VLOOKUP(D2,机型!A:E,5,0)</f>
        <v>555</v>
      </c>
    </row>
    <row r="3" spans="1:8" s="6" customFormat="1" ht="14.4" thickBot="1" x14ac:dyDescent="0.3">
      <c r="A3" s="6" t="s">
        <v>3</v>
      </c>
      <c r="B3" s="6" t="s">
        <v>4</v>
      </c>
      <c r="C3" s="6" t="s">
        <v>71</v>
      </c>
      <c r="D3" s="6" t="s">
        <v>6</v>
      </c>
      <c r="E3" s="6">
        <f>VLOOKUP(D3,机型!A:E,2,0)</f>
        <v>893</v>
      </c>
      <c r="F3" s="6">
        <f>VLOOKUP(D3,机型!A:E,3,0)</f>
        <v>2400</v>
      </c>
      <c r="G3" s="6">
        <f>VLOOKUP(D3,机型!A:E,4,0)</f>
        <v>12</v>
      </c>
      <c r="H3" s="6">
        <f>VLOOKUP(D3,机型!A:E,5,0)</f>
        <v>390</v>
      </c>
    </row>
    <row r="4" spans="1:8" x14ac:dyDescent="0.25">
      <c r="A4" s="19" t="s">
        <v>16</v>
      </c>
      <c r="B4" s="19" t="s">
        <v>4</v>
      </c>
      <c r="C4" s="19" t="s">
        <v>72</v>
      </c>
      <c r="D4" s="19" t="s">
        <v>5</v>
      </c>
      <c r="E4" s="19">
        <f>VLOOKUP(D4,机型!A:E,2,0)</f>
        <v>963.04000000000008</v>
      </c>
      <c r="F4" s="19">
        <f>VLOOKUP(D4,机型!A:E,3,0)</f>
        <v>3900</v>
      </c>
      <c r="G4" s="19">
        <f>VLOOKUP(D4,机型!A:E,4,0)</f>
        <v>16</v>
      </c>
      <c r="H4" s="19">
        <f>VLOOKUP(D4,机型!A:E,5,0)</f>
        <v>555</v>
      </c>
    </row>
    <row r="5" spans="1:8" x14ac:dyDescent="0.25">
      <c r="A5" t="s">
        <v>16</v>
      </c>
      <c r="B5" t="s">
        <v>4</v>
      </c>
      <c r="C5" t="s">
        <v>73</v>
      </c>
      <c r="D5" t="s">
        <v>5</v>
      </c>
      <c r="E5">
        <f>VLOOKUP(D5,机型!A:E,2,0)</f>
        <v>963.04000000000008</v>
      </c>
      <c r="F5">
        <f>VLOOKUP(D5,机型!A:E,3,0)</f>
        <v>3900</v>
      </c>
      <c r="G5">
        <f>VLOOKUP(D5,机型!A:E,4,0)</f>
        <v>16</v>
      </c>
      <c r="H5">
        <f>VLOOKUP(D5,机型!A:E,5,0)</f>
        <v>555</v>
      </c>
    </row>
    <row r="6" spans="1:8" x14ac:dyDescent="0.25">
      <c r="A6" t="s">
        <v>16</v>
      </c>
      <c r="B6" t="s">
        <v>4</v>
      </c>
      <c r="C6" t="s">
        <v>74</v>
      </c>
      <c r="D6" t="s">
        <v>5</v>
      </c>
      <c r="E6">
        <f>VLOOKUP(D6,机型!A:E,2,0)</f>
        <v>963.04000000000008</v>
      </c>
      <c r="F6">
        <f>VLOOKUP(D6,机型!A:E,3,0)</f>
        <v>3900</v>
      </c>
      <c r="G6">
        <f>VLOOKUP(D6,机型!A:E,4,0)</f>
        <v>16</v>
      </c>
      <c r="H6">
        <f>VLOOKUP(D6,机型!A:E,5,0)</f>
        <v>555</v>
      </c>
    </row>
    <row r="7" spans="1:8" s="19" customFormat="1" x14ac:dyDescent="0.25">
      <c r="A7" s="19" t="s">
        <v>16</v>
      </c>
      <c r="B7" s="19" t="s">
        <v>4</v>
      </c>
      <c r="C7" s="19" t="s">
        <v>75</v>
      </c>
      <c r="D7" s="19" t="s">
        <v>5</v>
      </c>
      <c r="E7" s="19">
        <f>VLOOKUP(D7,机型!A:E,2,0)</f>
        <v>963.04000000000008</v>
      </c>
      <c r="F7" s="19">
        <f>VLOOKUP(D7,机型!A:E,3,0)</f>
        <v>3900</v>
      </c>
      <c r="G7" s="19">
        <f>VLOOKUP(D7,机型!A:E,4,0)</f>
        <v>16</v>
      </c>
      <c r="H7" s="19">
        <f>VLOOKUP(D7,机型!A:E,5,0)</f>
        <v>555</v>
      </c>
    </row>
    <row r="8" spans="1:8" s="6" customFormat="1" ht="14.4" thickBot="1" x14ac:dyDescent="0.3">
      <c r="A8" s="6" t="s">
        <v>16</v>
      </c>
      <c r="B8" s="6" t="s">
        <v>4</v>
      </c>
      <c r="C8" s="6" t="s">
        <v>76</v>
      </c>
      <c r="D8" s="6" t="s">
        <v>5</v>
      </c>
      <c r="E8" s="6">
        <f>VLOOKUP(D8,机型!A:E,2,0)</f>
        <v>963.04000000000008</v>
      </c>
      <c r="F8" s="6">
        <f>VLOOKUP(D8,机型!A:E,3,0)</f>
        <v>3900</v>
      </c>
      <c r="G8" s="6">
        <f>VLOOKUP(D8,机型!A:E,4,0)</f>
        <v>16</v>
      </c>
      <c r="H8" s="6">
        <f>VLOOKUP(D8,机型!A:E,5,0)</f>
        <v>555</v>
      </c>
    </row>
    <row r="9" spans="1:8" x14ac:dyDescent="0.25">
      <c r="A9" s="19" t="s">
        <v>17</v>
      </c>
      <c r="B9" s="19" t="s">
        <v>4</v>
      </c>
      <c r="C9" s="19" t="s">
        <v>77</v>
      </c>
      <c r="D9" s="19" t="s">
        <v>5</v>
      </c>
      <c r="E9" s="19">
        <f>VLOOKUP(D9,机型!A:E,2,0)</f>
        <v>963.04000000000008</v>
      </c>
      <c r="F9" s="19">
        <f>VLOOKUP(D9,机型!A:E,3,0)</f>
        <v>3900</v>
      </c>
      <c r="G9" s="19">
        <f>VLOOKUP(D9,机型!A:E,4,0)</f>
        <v>16</v>
      </c>
      <c r="H9" s="19">
        <f>VLOOKUP(D9,机型!A:E,5,0)</f>
        <v>555</v>
      </c>
    </row>
    <row r="10" spans="1:8" x14ac:dyDescent="0.25">
      <c r="A10" t="s">
        <v>17</v>
      </c>
      <c r="B10" t="s">
        <v>4</v>
      </c>
      <c r="C10" t="s">
        <v>78</v>
      </c>
      <c r="D10" t="s">
        <v>6</v>
      </c>
      <c r="E10">
        <f>VLOOKUP(D10,机型!A:E,2,0)</f>
        <v>893</v>
      </c>
      <c r="F10">
        <f>VLOOKUP(D10,机型!A:E,3,0)</f>
        <v>2400</v>
      </c>
      <c r="G10">
        <f>VLOOKUP(D10,机型!A:E,4,0)</f>
        <v>12</v>
      </c>
      <c r="H10">
        <f>VLOOKUP(D10,机型!A:E,5,0)</f>
        <v>390</v>
      </c>
    </row>
    <row r="11" spans="1:8" x14ac:dyDescent="0.25">
      <c r="A11" t="s">
        <v>17</v>
      </c>
      <c r="B11" t="s">
        <v>4</v>
      </c>
      <c r="C11" t="s">
        <v>79</v>
      </c>
      <c r="D11" t="s">
        <v>5</v>
      </c>
      <c r="E11">
        <f>VLOOKUP(D11,机型!A:E,2,0)</f>
        <v>963.04000000000008</v>
      </c>
      <c r="F11">
        <f>VLOOKUP(D11,机型!A:E,3,0)</f>
        <v>3900</v>
      </c>
      <c r="G11">
        <f>VLOOKUP(D11,机型!A:E,4,0)</f>
        <v>16</v>
      </c>
      <c r="H11">
        <f>VLOOKUP(D11,机型!A:E,5,0)</f>
        <v>555</v>
      </c>
    </row>
    <row r="12" spans="1:8" s="6" customFormat="1" ht="14.4" thickBot="1" x14ac:dyDescent="0.3">
      <c r="A12" s="6" t="s">
        <v>17</v>
      </c>
      <c r="B12" s="6" t="s">
        <v>4</v>
      </c>
      <c r="C12" s="6" t="s">
        <v>80</v>
      </c>
      <c r="D12" s="6" t="s">
        <v>5</v>
      </c>
      <c r="E12" s="6">
        <f>VLOOKUP(D12,机型!A:E,2,0)</f>
        <v>963.04000000000008</v>
      </c>
      <c r="F12" s="6">
        <f>VLOOKUP(D12,机型!A:E,3,0)</f>
        <v>3900</v>
      </c>
      <c r="G12" s="6">
        <f>VLOOKUP(D12,机型!A:E,4,0)</f>
        <v>16</v>
      </c>
      <c r="H12" s="6">
        <f>VLOOKUP(D12,机型!A:E,5,0)</f>
        <v>555</v>
      </c>
    </row>
    <row r="13" spans="1:8" s="21" customFormat="1" ht="14.4" thickBot="1" x14ac:dyDescent="0.3">
      <c r="A13" s="21" t="s">
        <v>18</v>
      </c>
      <c r="B13" s="21" t="s">
        <v>4</v>
      </c>
      <c r="C13" s="21" t="s">
        <v>81</v>
      </c>
      <c r="D13" s="21" t="s">
        <v>5</v>
      </c>
      <c r="E13" s="21">
        <f>VLOOKUP(D13,机型!A:E,2,0)</f>
        <v>963.04000000000008</v>
      </c>
      <c r="F13" s="21">
        <f>VLOOKUP(D13,机型!A:E,3,0)</f>
        <v>3900</v>
      </c>
      <c r="G13" s="21">
        <f>VLOOKUP(D13,机型!A:E,4,0)</f>
        <v>16</v>
      </c>
      <c r="H13" s="21">
        <f>VLOOKUP(D13,机型!A:E,5,0)</f>
        <v>555</v>
      </c>
    </row>
    <row r="14" spans="1:8" s="3" customFormat="1" x14ac:dyDescent="0.25">
      <c r="A14" s="3" t="s">
        <v>23</v>
      </c>
      <c r="B14" s="3" t="s">
        <v>12</v>
      </c>
      <c r="C14" s="3" t="s">
        <v>82</v>
      </c>
      <c r="D14" s="3" t="s">
        <v>9</v>
      </c>
      <c r="E14" s="3">
        <f>VLOOKUP(D14,机型!A:E,2,0)</f>
        <v>901.92400000000009</v>
      </c>
      <c r="F14" s="3">
        <f>VLOOKUP(D14,机型!A:E,3,0)</f>
        <v>1900</v>
      </c>
      <c r="G14" s="3">
        <f>VLOOKUP(D14,机型!A:E,4,0)</f>
        <v>11</v>
      </c>
      <c r="H14" s="3">
        <f>VLOOKUP(D14,机型!A:E,5,0)</f>
        <v>314</v>
      </c>
    </row>
    <row r="15" spans="1:8" s="6" customFormat="1" ht="14.4" thickBot="1" x14ac:dyDescent="0.3">
      <c r="A15" s="6" t="s">
        <v>23</v>
      </c>
      <c r="B15" s="6" t="s">
        <v>12</v>
      </c>
      <c r="C15" s="6" t="s">
        <v>83</v>
      </c>
      <c r="D15" s="6" t="s">
        <v>9</v>
      </c>
      <c r="E15" s="6">
        <f>VLOOKUP(D15,机型!A:E,2,0)</f>
        <v>901.92400000000009</v>
      </c>
      <c r="F15" s="6">
        <f>VLOOKUP(D15,机型!A:E,3,0)</f>
        <v>1900</v>
      </c>
      <c r="G15" s="6">
        <f>VLOOKUP(D15,机型!A:E,4,0)</f>
        <v>11</v>
      </c>
      <c r="H15" s="6">
        <f>VLOOKUP(D15,机型!A:E,5,0)</f>
        <v>314</v>
      </c>
    </row>
    <row r="16" spans="1:8" s="19" customFormat="1" x14ac:dyDescent="0.25">
      <c r="A16" s="19" t="s">
        <v>25</v>
      </c>
      <c r="B16" s="19" t="s">
        <v>7</v>
      </c>
      <c r="C16" s="19" t="s">
        <v>88</v>
      </c>
      <c r="D16" s="19" t="s">
        <v>6</v>
      </c>
      <c r="E16" s="19">
        <f>VLOOKUP(D16,机型!A:E,2,0)</f>
        <v>893</v>
      </c>
      <c r="F16" s="19">
        <f>VLOOKUP(D16,机型!A:E,3,0)</f>
        <v>2400</v>
      </c>
      <c r="G16" s="19">
        <f>VLOOKUP(D16,机型!A:E,4,0)</f>
        <v>12</v>
      </c>
      <c r="H16" s="19">
        <f>VLOOKUP(D16,机型!A:E,5,0)</f>
        <v>390</v>
      </c>
    </row>
    <row r="17" spans="1:8" s="19" customFormat="1" x14ac:dyDescent="0.25">
      <c r="A17" s="19" t="s">
        <v>25</v>
      </c>
      <c r="B17" s="19" t="s">
        <v>7</v>
      </c>
      <c r="C17" s="19" t="s">
        <v>89</v>
      </c>
      <c r="D17" s="19" t="s">
        <v>5</v>
      </c>
      <c r="E17" s="19">
        <f>VLOOKUP(D17,机型!A:E,2,0)</f>
        <v>963.04000000000008</v>
      </c>
      <c r="F17" s="19">
        <f>VLOOKUP(D17,机型!A:E,3,0)</f>
        <v>3900</v>
      </c>
      <c r="G17" s="19">
        <f>VLOOKUP(D17,机型!A:E,4,0)</f>
        <v>16</v>
      </c>
      <c r="H17" s="19">
        <f>VLOOKUP(D17,机型!A:E,5,0)</f>
        <v>555</v>
      </c>
    </row>
    <row r="18" spans="1:8" s="19" customFormat="1" x14ac:dyDescent="0.25">
      <c r="A18" s="19" t="s">
        <v>25</v>
      </c>
      <c r="B18" s="19" t="s">
        <v>7</v>
      </c>
      <c r="C18" s="19" t="s">
        <v>90</v>
      </c>
      <c r="D18" s="19" t="s">
        <v>6</v>
      </c>
      <c r="E18" s="19">
        <f>VLOOKUP(D18,机型!A:E,2,0)</f>
        <v>893</v>
      </c>
      <c r="F18" s="19">
        <f>VLOOKUP(D18,机型!A:E,3,0)</f>
        <v>2400</v>
      </c>
      <c r="G18" s="19">
        <f>VLOOKUP(D18,机型!A:E,4,0)</f>
        <v>12</v>
      </c>
      <c r="H18" s="19">
        <f>VLOOKUP(D18,机型!A:E,5,0)</f>
        <v>390</v>
      </c>
    </row>
    <row r="19" spans="1:8" s="19" customFormat="1" x14ac:dyDescent="0.25">
      <c r="A19" s="19" t="s">
        <v>25</v>
      </c>
      <c r="B19" s="19" t="s">
        <v>26</v>
      </c>
      <c r="C19" s="19" t="s">
        <v>91</v>
      </c>
      <c r="D19" s="19" t="s">
        <v>6</v>
      </c>
      <c r="E19" s="19">
        <f>VLOOKUP(D19,机型!A:E,2,0)</f>
        <v>893</v>
      </c>
      <c r="F19" s="19">
        <f>VLOOKUP(D19,机型!A:E,3,0)</f>
        <v>2400</v>
      </c>
      <c r="G19" s="19">
        <f>VLOOKUP(D19,机型!A:E,4,0)</f>
        <v>12</v>
      </c>
      <c r="H19" s="19">
        <f>VLOOKUP(D19,机型!A:E,5,0)</f>
        <v>390</v>
      </c>
    </row>
    <row r="20" spans="1:8" x14ac:dyDescent="0.25">
      <c r="A20" t="s">
        <v>25</v>
      </c>
      <c r="B20" t="s">
        <v>7</v>
      </c>
      <c r="C20" t="s">
        <v>92</v>
      </c>
      <c r="D20" t="s">
        <v>5</v>
      </c>
      <c r="E20">
        <f>VLOOKUP(D20,机型!A:E,2,0)</f>
        <v>963.04000000000008</v>
      </c>
      <c r="F20">
        <f>VLOOKUP(D20,机型!A:E,3,0)</f>
        <v>3900</v>
      </c>
      <c r="G20">
        <f>VLOOKUP(D20,机型!A:E,4,0)</f>
        <v>16</v>
      </c>
      <c r="H20">
        <f>VLOOKUP(D20,机型!A:E,5,0)</f>
        <v>555</v>
      </c>
    </row>
    <row r="21" spans="1:8" s="6" customFormat="1" ht="14.4" thickBot="1" x14ac:dyDescent="0.3">
      <c r="A21" s="6" t="s">
        <v>25</v>
      </c>
      <c r="B21" s="6" t="s">
        <v>26</v>
      </c>
      <c r="C21" s="6" t="s">
        <v>93</v>
      </c>
      <c r="D21" s="6" t="s">
        <v>27</v>
      </c>
      <c r="E21" s="6">
        <f>VLOOKUP(D21,机型!A:E,2,0)</f>
        <v>907.48</v>
      </c>
      <c r="F21" s="6">
        <f>VLOOKUP(D21,机型!A:E,3,0)</f>
        <v>1750</v>
      </c>
      <c r="G21" s="6">
        <f>VLOOKUP(D21,机型!A:E,4,0)</f>
        <v>9</v>
      </c>
      <c r="H21" s="6">
        <f>VLOOKUP(D21,机型!A:E,5,0)</f>
        <v>230</v>
      </c>
    </row>
    <row r="22" spans="1:8" x14ac:dyDescent="0.25">
      <c r="A22" s="19" t="s">
        <v>28</v>
      </c>
      <c r="B22" s="19" t="s">
        <v>4</v>
      </c>
      <c r="C22" s="19" t="s">
        <v>94</v>
      </c>
      <c r="D22" s="19" t="s">
        <v>6</v>
      </c>
      <c r="E22" s="19">
        <f>VLOOKUP(D22,机型!A:E,2,0)</f>
        <v>893</v>
      </c>
      <c r="F22" s="19">
        <f>VLOOKUP(D22,机型!A:E,3,0)</f>
        <v>2400</v>
      </c>
      <c r="G22" s="19">
        <f>VLOOKUP(D22,机型!A:E,4,0)</f>
        <v>12</v>
      </c>
      <c r="H22" s="19">
        <f>VLOOKUP(D22,机型!A:E,5,0)</f>
        <v>390</v>
      </c>
    </row>
    <row r="23" spans="1:8" x14ac:dyDescent="0.25">
      <c r="A23" t="s">
        <v>28</v>
      </c>
      <c r="B23" t="s">
        <v>4</v>
      </c>
      <c r="C23" t="s">
        <v>95</v>
      </c>
      <c r="D23" t="s">
        <v>5</v>
      </c>
      <c r="E23">
        <f>VLOOKUP(D23,机型!A:E,2,0)</f>
        <v>963.04000000000008</v>
      </c>
      <c r="F23">
        <f>VLOOKUP(D23,机型!A:E,3,0)</f>
        <v>3900</v>
      </c>
      <c r="G23">
        <f>VLOOKUP(D23,机型!A:E,4,0)</f>
        <v>16</v>
      </c>
      <c r="H23">
        <f>VLOOKUP(D23,机型!A:E,5,0)</f>
        <v>555</v>
      </c>
    </row>
    <row r="24" spans="1:8" x14ac:dyDescent="0.25">
      <c r="A24" t="s">
        <v>28</v>
      </c>
      <c r="B24" t="s">
        <v>4</v>
      </c>
      <c r="C24" t="s">
        <v>96</v>
      </c>
      <c r="D24" t="s">
        <v>6</v>
      </c>
      <c r="E24">
        <f>VLOOKUP(D24,机型!A:E,2,0)</f>
        <v>893</v>
      </c>
      <c r="F24">
        <f>VLOOKUP(D24,机型!A:E,3,0)</f>
        <v>2400</v>
      </c>
      <c r="G24">
        <f>VLOOKUP(D24,机型!A:E,4,0)</f>
        <v>12</v>
      </c>
      <c r="H24">
        <f>VLOOKUP(D24,机型!A:E,5,0)</f>
        <v>390</v>
      </c>
    </row>
    <row r="25" spans="1:8" x14ac:dyDescent="0.25">
      <c r="A25" t="s">
        <v>28</v>
      </c>
      <c r="B25" t="s">
        <v>4</v>
      </c>
      <c r="C25" t="s">
        <v>97</v>
      </c>
      <c r="D25" t="s">
        <v>9</v>
      </c>
      <c r="E25">
        <f>VLOOKUP(D25,机型!A:E,2,0)</f>
        <v>901.92400000000009</v>
      </c>
      <c r="F25">
        <f>VLOOKUP(D25,机型!A:E,3,0)</f>
        <v>1900</v>
      </c>
      <c r="G25">
        <f>VLOOKUP(D25,机型!A:E,4,0)</f>
        <v>11</v>
      </c>
      <c r="H25">
        <f>VLOOKUP(D25,机型!A:E,5,0)</f>
        <v>314</v>
      </c>
    </row>
    <row r="26" spans="1:8" x14ac:dyDescent="0.25">
      <c r="A26" t="s">
        <v>28</v>
      </c>
      <c r="B26" t="s">
        <v>4</v>
      </c>
      <c r="C26" t="s">
        <v>98</v>
      </c>
      <c r="D26" t="s">
        <v>6</v>
      </c>
      <c r="E26">
        <f>VLOOKUP(D26,机型!A:E,2,0)</f>
        <v>893</v>
      </c>
      <c r="F26">
        <f>VLOOKUP(D26,机型!A:E,3,0)</f>
        <v>2400</v>
      </c>
      <c r="G26">
        <f>VLOOKUP(D26,机型!A:E,4,0)</f>
        <v>12</v>
      </c>
      <c r="H26">
        <f>VLOOKUP(D26,机型!A:E,5,0)</f>
        <v>390</v>
      </c>
    </row>
    <row r="27" spans="1:8" s="6" customFormat="1" ht="14.4" thickBot="1" x14ac:dyDescent="0.3">
      <c r="A27" s="6" t="s">
        <v>28</v>
      </c>
      <c r="B27" s="6" t="s">
        <v>10</v>
      </c>
      <c r="C27" s="6" t="s">
        <v>99</v>
      </c>
      <c r="D27" s="6" t="s">
        <v>29</v>
      </c>
      <c r="E27" s="6">
        <f>VLOOKUP(D27,机型!A:E,2,0)</f>
        <v>913</v>
      </c>
      <c r="F27" s="6">
        <f>VLOOKUP(D27,机型!A:E,3,0)</f>
        <v>1750</v>
      </c>
      <c r="G27" s="6">
        <f>VLOOKUP(D27,机型!A:E,4,0)</f>
        <v>9</v>
      </c>
      <c r="H27" s="6">
        <f>VLOOKUP(D27,机型!A:E,5,0)</f>
        <v>230</v>
      </c>
    </row>
    <row r="28" spans="1:8" x14ac:dyDescent="0.25">
      <c r="A28" t="s">
        <v>30</v>
      </c>
      <c r="B28" t="s">
        <v>4</v>
      </c>
      <c r="C28" t="s">
        <v>100</v>
      </c>
      <c r="D28" t="s">
        <v>5</v>
      </c>
      <c r="E28">
        <f>VLOOKUP(D28,机型!A:E,2,0)</f>
        <v>963.04000000000008</v>
      </c>
      <c r="F28">
        <f>VLOOKUP(D28,机型!A:E,3,0)</f>
        <v>3900</v>
      </c>
      <c r="G28">
        <f>VLOOKUP(D28,机型!A:E,4,0)</f>
        <v>16</v>
      </c>
      <c r="H28">
        <f>VLOOKUP(D28,机型!A:E,5,0)</f>
        <v>555</v>
      </c>
    </row>
    <row r="30" spans="1:8" s="6" customFormat="1" ht="14.4" thickBot="1" x14ac:dyDescent="0.3">
      <c r="A30"/>
      <c r="B30"/>
      <c r="C30"/>
      <c r="D30"/>
      <c r="E30"/>
      <c r="F30"/>
      <c r="G30"/>
      <c r="H30"/>
    </row>
    <row r="31" spans="1:8" s="3" customFormat="1" x14ac:dyDescent="0.25">
      <c r="A31"/>
      <c r="B31"/>
      <c r="C31"/>
      <c r="D31"/>
      <c r="E31"/>
      <c r="F31"/>
      <c r="G31"/>
      <c r="H31"/>
    </row>
    <row r="33" spans="1:8" s="6" customFormat="1" ht="14.4" thickBot="1" x14ac:dyDescent="0.3">
      <c r="A33"/>
      <c r="B33"/>
      <c r="C33"/>
      <c r="D33"/>
      <c r="E33"/>
      <c r="F33"/>
      <c r="G33"/>
      <c r="H33"/>
    </row>
    <row r="34" spans="1:8" s="3" customFormat="1" x14ac:dyDescent="0.25">
      <c r="A34"/>
      <c r="B34"/>
      <c r="C34"/>
      <c r="D34"/>
      <c r="E34"/>
      <c r="F34"/>
      <c r="G34"/>
      <c r="H34"/>
    </row>
    <row r="43" spans="1:8" s="6" customFormat="1" ht="14.4" thickBot="1" x14ac:dyDescent="0.3">
      <c r="A43"/>
      <c r="B43"/>
      <c r="C43"/>
      <c r="D43"/>
      <c r="E43"/>
      <c r="F43"/>
      <c r="G43"/>
      <c r="H43"/>
    </row>
    <row r="44" spans="1:8" s="3" customFormat="1" x14ac:dyDescent="0.25">
      <c r="A44"/>
      <c r="B44"/>
      <c r="C44"/>
      <c r="D44"/>
      <c r="E44"/>
      <c r="F44"/>
      <c r="G44"/>
      <c r="H44"/>
    </row>
    <row r="61" spans="1:8" s="6" customFormat="1" ht="14.4" thickBot="1" x14ac:dyDescent="0.3">
      <c r="A61"/>
      <c r="B61"/>
      <c r="C61"/>
      <c r="D61"/>
      <c r="E61"/>
      <c r="F61"/>
      <c r="G61"/>
      <c r="H61"/>
    </row>
    <row r="62" spans="1:8" s="3" customFormat="1" x14ac:dyDescent="0.25">
      <c r="A62"/>
      <c r="B62"/>
      <c r="C62"/>
      <c r="D62"/>
      <c r="E62"/>
      <c r="F62"/>
      <c r="G62"/>
      <c r="H62"/>
    </row>
    <row r="79" spans="1:8" s="6" customFormat="1" ht="14.4" thickBot="1" x14ac:dyDescent="0.3">
      <c r="A79"/>
      <c r="B79"/>
      <c r="C79"/>
      <c r="D79"/>
      <c r="E79"/>
      <c r="F79"/>
      <c r="G79"/>
      <c r="H79"/>
    </row>
  </sheetData>
  <autoFilter ref="C1:C82" xr:uid="{DF33AC06-3CA9-4530-980F-7FC46B9E6410}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E187-13C9-4F84-BCA4-AB411FA8C01A}">
  <dimension ref="A3:A56"/>
  <sheetViews>
    <sheetView workbookViewId="0">
      <selection activeCell="A3" sqref="A3"/>
    </sheetView>
  </sheetViews>
  <sheetFormatPr defaultRowHeight="13.8" x14ac:dyDescent="0.25"/>
  <cols>
    <col min="1" max="1" width="23.6640625" bestFit="1" customWidth="1"/>
    <col min="2" max="9" width="11.21875" bestFit="1" customWidth="1"/>
    <col min="10" max="10" width="5.5546875" bestFit="1" customWidth="1"/>
  </cols>
  <sheetData>
    <row r="3" spans="1:1" x14ac:dyDescent="0.25">
      <c r="A3" s="7" t="s">
        <v>33</v>
      </c>
    </row>
    <row r="4" spans="1:1" x14ac:dyDescent="0.25">
      <c r="A4" s="8" t="s">
        <v>17</v>
      </c>
    </row>
    <row r="5" spans="1:1" x14ac:dyDescent="0.25">
      <c r="A5" s="9" t="s">
        <v>4</v>
      </c>
    </row>
    <row r="6" spans="1:1" x14ac:dyDescent="0.25">
      <c r="A6" s="12" t="s">
        <v>78</v>
      </c>
    </row>
    <row r="7" spans="1:1" x14ac:dyDescent="0.25">
      <c r="A7" s="12" t="s">
        <v>80</v>
      </c>
    </row>
    <row r="8" spans="1:1" x14ac:dyDescent="0.25">
      <c r="A8" s="12" t="s">
        <v>77</v>
      </c>
    </row>
    <row r="9" spans="1:1" x14ac:dyDescent="0.25">
      <c r="A9" s="12" t="s">
        <v>79</v>
      </c>
    </row>
    <row r="10" spans="1:1" x14ac:dyDescent="0.25">
      <c r="A10" s="8" t="s">
        <v>28</v>
      </c>
    </row>
    <row r="11" spans="1:1" x14ac:dyDescent="0.25">
      <c r="A11" s="9" t="s">
        <v>10</v>
      </c>
    </row>
    <row r="12" spans="1:1" x14ac:dyDescent="0.25">
      <c r="A12" s="12" t="s">
        <v>99</v>
      </c>
    </row>
    <row r="13" spans="1:1" x14ac:dyDescent="0.25">
      <c r="A13" s="9" t="s">
        <v>4</v>
      </c>
    </row>
    <row r="14" spans="1:1" x14ac:dyDescent="0.25">
      <c r="A14" s="12" t="s">
        <v>95</v>
      </c>
    </row>
    <row r="15" spans="1:1" x14ac:dyDescent="0.25">
      <c r="A15" s="12" t="s">
        <v>97</v>
      </c>
    </row>
    <row r="16" spans="1:1" x14ac:dyDescent="0.25">
      <c r="A16" s="12" t="s">
        <v>94</v>
      </c>
    </row>
    <row r="17" spans="1:1" x14ac:dyDescent="0.25">
      <c r="A17" s="12" t="s">
        <v>98</v>
      </c>
    </row>
    <row r="18" spans="1:1" x14ac:dyDescent="0.25">
      <c r="A18" s="12" t="s">
        <v>96</v>
      </c>
    </row>
    <row r="19" spans="1:1" x14ac:dyDescent="0.25">
      <c r="A19" s="8" t="s">
        <v>23</v>
      </c>
    </row>
    <row r="20" spans="1:1" x14ac:dyDescent="0.25">
      <c r="A20" s="9" t="s">
        <v>12</v>
      </c>
    </row>
    <row r="21" spans="1:1" x14ac:dyDescent="0.25">
      <c r="A21" s="12" t="s">
        <v>87</v>
      </c>
    </row>
    <row r="22" spans="1:1" x14ac:dyDescent="0.25">
      <c r="A22" s="12" t="s">
        <v>86</v>
      </c>
    </row>
    <row r="23" spans="1:1" x14ac:dyDescent="0.25">
      <c r="A23" s="12" t="s">
        <v>84</v>
      </c>
    </row>
    <row r="24" spans="1:1" x14ac:dyDescent="0.25">
      <c r="A24" s="12" t="s">
        <v>85</v>
      </c>
    </row>
    <row r="25" spans="1:1" x14ac:dyDescent="0.25">
      <c r="A25" s="12" t="s">
        <v>83</v>
      </c>
    </row>
    <row r="26" spans="1:1" x14ac:dyDescent="0.25">
      <c r="A26" s="12" t="s">
        <v>82</v>
      </c>
    </row>
    <row r="27" spans="1:1" x14ac:dyDescent="0.25">
      <c r="A27" s="8" t="s">
        <v>18</v>
      </c>
    </row>
    <row r="28" spans="1:1" x14ac:dyDescent="0.25">
      <c r="A28" s="9" t="s">
        <v>4</v>
      </c>
    </row>
    <row r="29" spans="1:1" x14ac:dyDescent="0.25">
      <c r="A29" s="12" t="s">
        <v>81</v>
      </c>
    </row>
    <row r="30" spans="1:1" x14ac:dyDescent="0.25">
      <c r="A30" s="8" t="s">
        <v>16</v>
      </c>
    </row>
    <row r="31" spans="1:1" x14ac:dyDescent="0.25">
      <c r="A31" s="9" t="s">
        <v>4</v>
      </c>
    </row>
    <row r="32" spans="1:1" x14ac:dyDescent="0.25">
      <c r="A32" s="12" t="s">
        <v>76</v>
      </c>
    </row>
    <row r="33" spans="1:1" x14ac:dyDescent="0.25">
      <c r="A33" s="12" t="s">
        <v>75</v>
      </c>
    </row>
    <row r="34" spans="1:1" x14ac:dyDescent="0.25">
      <c r="A34" s="12" t="s">
        <v>74</v>
      </c>
    </row>
    <row r="35" spans="1:1" x14ac:dyDescent="0.25">
      <c r="A35" s="12" t="s">
        <v>73</v>
      </c>
    </row>
    <row r="36" spans="1:1" x14ac:dyDescent="0.25">
      <c r="A36" s="12" t="s">
        <v>72</v>
      </c>
    </row>
    <row r="37" spans="1:1" x14ac:dyDescent="0.25">
      <c r="A37" s="8" t="s">
        <v>30</v>
      </c>
    </row>
    <row r="38" spans="1:1" x14ac:dyDescent="0.25">
      <c r="A38" s="9" t="s">
        <v>4</v>
      </c>
    </row>
    <row r="39" spans="1:1" x14ac:dyDescent="0.25">
      <c r="A39" s="12" t="s">
        <v>100</v>
      </c>
    </row>
    <row r="40" spans="1:1" x14ac:dyDescent="0.25">
      <c r="A40" s="8" t="s">
        <v>3</v>
      </c>
    </row>
    <row r="41" spans="1:1" x14ac:dyDescent="0.25">
      <c r="A41" s="9" t="s">
        <v>4</v>
      </c>
    </row>
    <row r="42" spans="1:1" x14ac:dyDescent="0.25">
      <c r="A42" s="12" t="s">
        <v>70</v>
      </c>
    </row>
    <row r="43" spans="1:1" x14ac:dyDescent="0.25">
      <c r="A43" s="12" t="s">
        <v>71</v>
      </c>
    </row>
    <row r="44" spans="1:1" x14ac:dyDescent="0.25">
      <c r="A44" s="8" t="s">
        <v>25</v>
      </c>
    </row>
    <row r="45" spans="1:1" x14ac:dyDescent="0.25">
      <c r="A45" s="9" t="s">
        <v>26</v>
      </c>
    </row>
    <row r="46" spans="1:1" x14ac:dyDescent="0.25">
      <c r="A46" s="12" t="s">
        <v>91</v>
      </c>
    </row>
    <row r="47" spans="1:1" x14ac:dyDescent="0.25">
      <c r="A47" s="12" t="s">
        <v>93</v>
      </c>
    </row>
    <row r="48" spans="1:1" x14ac:dyDescent="0.25">
      <c r="A48" s="9" t="s">
        <v>7</v>
      </c>
    </row>
    <row r="49" spans="1:1" x14ac:dyDescent="0.25">
      <c r="A49" s="12" t="s">
        <v>90</v>
      </c>
    </row>
    <row r="50" spans="1:1" x14ac:dyDescent="0.25">
      <c r="A50" s="12" t="s">
        <v>89</v>
      </c>
    </row>
    <row r="51" spans="1:1" x14ac:dyDescent="0.25">
      <c r="A51" s="12" t="s">
        <v>88</v>
      </c>
    </row>
    <row r="52" spans="1:1" x14ac:dyDescent="0.25">
      <c r="A52" s="12" t="s">
        <v>92</v>
      </c>
    </row>
    <row r="53" spans="1:1" x14ac:dyDescent="0.25">
      <c r="A53" s="8" t="s">
        <v>32</v>
      </c>
    </row>
    <row r="54" spans="1:1" x14ac:dyDescent="0.25">
      <c r="A54" s="9" t="s">
        <v>32</v>
      </c>
    </row>
    <row r="55" spans="1:1" x14ac:dyDescent="0.25">
      <c r="A55" s="12" t="s">
        <v>32</v>
      </c>
    </row>
    <row r="56" spans="1:1" x14ac:dyDescent="0.25">
      <c r="A56" s="8" t="s">
        <v>101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7172-CE81-4005-9F55-CC7E28D80FF5}">
  <dimension ref="A1:C32"/>
  <sheetViews>
    <sheetView zoomScale="89" workbookViewId="0">
      <selection activeCell="C1" sqref="C1:C1048576"/>
    </sheetView>
  </sheetViews>
  <sheetFormatPr defaultRowHeight="13.8" x14ac:dyDescent="0.25"/>
  <cols>
    <col min="1" max="1" width="10.5546875" style="19" bestFit="1" customWidth="1"/>
    <col min="2" max="2" width="17.44140625" style="19" bestFit="1" customWidth="1"/>
    <col min="3" max="3" width="8.88671875" style="19"/>
  </cols>
  <sheetData>
    <row r="1" spans="1:3" x14ac:dyDescent="0.25">
      <c r="A1" s="20" t="s">
        <v>0</v>
      </c>
      <c r="B1" s="20" t="s">
        <v>1</v>
      </c>
      <c r="C1" s="20" t="s">
        <v>69</v>
      </c>
    </row>
    <row r="2" spans="1:3" x14ac:dyDescent="0.25">
      <c r="A2" s="19" t="s">
        <v>3</v>
      </c>
      <c r="B2" s="19" t="s">
        <v>4</v>
      </c>
      <c r="C2" s="19" t="s">
        <v>70</v>
      </c>
    </row>
    <row r="3" spans="1:3" ht="14.4" thickBot="1" x14ac:dyDescent="0.3">
      <c r="A3" s="6" t="s">
        <v>3</v>
      </c>
      <c r="B3" s="6" t="s">
        <v>4</v>
      </c>
      <c r="C3" s="6" t="s">
        <v>71</v>
      </c>
    </row>
    <row r="4" spans="1:3" x14ac:dyDescent="0.25">
      <c r="A4" s="3" t="s">
        <v>16</v>
      </c>
      <c r="B4" s="3" t="s">
        <v>4</v>
      </c>
      <c r="C4" s="3" t="s">
        <v>72</v>
      </c>
    </row>
    <row r="5" spans="1:3" x14ac:dyDescent="0.25">
      <c r="A5" s="19" t="s">
        <v>16</v>
      </c>
      <c r="B5" s="19" t="s">
        <v>4</v>
      </c>
      <c r="C5" s="19" t="s">
        <v>73</v>
      </c>
    </row>
    <row r="6" spans="1:3" x14ac:dyDescent="0.25">
      <c r="A6" s="19" t="s">
        <v>16</v>
      </c>
      <c r="B6" s="19" t="s">
        <v>4</v>
      </c>
      <c r="C6" s="19" t="s">
        <v>74</v>
      </c>
    </row>
    <row r="7" spans="1:3" x14ac:dyDescent="0.25">
      <c r="A7" s="19" t="s">
        <v>16</v>
      </c>
      <c r="B7" s="19" t="s">
        <v>4</v>
      </c>
      <c r="C7" s="19" t="s">
        <v>75</v>
      </c>
    </row>
    <row r="8" spans="1:3" ht="14.4" thickBot="1" x14ac:dyDescent="0.3">
      <c r="A8" s="6" t="s">
        <v>16</v>
      </c>
      <c r="B8" s="6" t="s">
        <v>4</v>
      </c>
      <c r="C8" s="6" t="s">
        <v>76</v>
      </c>
    </row>
    <row r="9" spans="1:3" x14ac:dyDescent="0.25">
      <c r="A9" s="3" t="s">
        <v>17</v>
      </c>
      <c r="B9" s="3" t="s">
        <v>4</v>
      </c>
      <c r="C9" s="3" t="s">
        <v>77</v>
      </c>
    </row>
    <row r="10" spans="1:3" x14ac:dyDescent="0.25">
      <c r="A10" s="19" t="s">
        <v>17</v>
      </c>
      <c r="B10" s="19" t="s">
        <v>4</v>
      </c>
      <c r="C10" s="19" t="s">
        <v>78</v>
      </c>
    </row>
    <row r="11" spans="1:3" x14ac:dyDescent="0.25">
      <c r="A11" s="19" t="s">
        <v>17</v>
      </c>
      <c r="B11" s="19" t="s">
        <v>4</v>
      </c>
      <c r="C11" s="19" t="s">
        <v>79</v>
      </c>
    </row>
    <row r="12" spans="1:3" ht="14.4" thickBot="1" x14ac:dyDescent="0.3">
      <c r="A12" s="6" t="s">
        <v>17</v>
      </c>
      <c r="B12" s="6" t="s">
        <v>4</v>
      </c>
      <c r="C12" s="6" t="s">
        <v>80</v>
      </c>
    </row>
    <row r="13" spans="1:3" ht="14.4" thickBot="1" x14ac:dyDescent="0.3">
      <c r="A13" s="21" t="s">
        <v>18</v>
      </c>
      <c r="B13" s="21" t="s">
        <v>4</v>
      </c>
      <c r="C13" s="21" t="s">
        <v>81</v>
      </c>
    </row>
    <row r="14" spans="1:3" x14ac:dyDescent="0.25">
      <c r="A14" s="3" t="s">
        <v>23</v>
      </c>
      <c r="B14" s="3" t="s">
        <v>12</v>
      </c>
      <c r="C14" s="3" t="s">
        <v>82</v>
      </c>
    </row>
    <row r="15" spans="1:3" x14ac:dyDescent="0.25">
      <c r="A15" s="19" t="s">
        <v>23</v>
      </c>
      <c r="B15" s="19" t="s">
        <v>12</v>
      </c>
      <c r="C15" s="19" t="s">
        <v>83</v>
      </c>
    </row>
    <row r="16" spans="1:3" x14ac:dyDescent="0.25">
      <c r="A16" s="19" t="s">
        <v>23</v>
      </c>
      <c r="B16" s="19" t="s">
        <v>12</v>
      </c>
      <c r="C16" s="19" t="s">
        <v>84</v>
      </c>
    </row>
    <row r="17" spans="1:3" x14ac:dyDescent="0.25">
      <c r="A17" s="19" t="s">
        <v>23</v>
      </c>
      <c r="B17" s="19" t="s">
        <v>12</v>
      </c>
      <c r="C17" s="19" t="s">
        <v>85</v>
      </c>
    </row>
    <row r="18" spans="1:3" x14ac:dyDescent="0.25">
      <c r="A18" s="19" t="s">
        <v>23</v>
      </c>
      <c r="B18" s="19" t="s">
        <v>12</v>
      </c>
      <c r="C18" s="19" t="s">
        <v>86</v>
      </c>
    </row>
    <row r="19" spans="1:3" ht="14.4" thickBot="1" x14ac:dyDescent="0.3">
      <c r="A19" s="6" t="s">
        <v>23</v>
      </c>
      <c r="B19" s="6" t="s">
        <v>12</v>
      </c>
      <c r="C19" s="6" t="s">
        <v>87</v>
      </c>
    </row>
    <row r="20" spans="1:3" x14ac:dyDescent="0.25">
      <c r="A20" s="3" t="s">
        <v>25</v>
      </c>
      <c r="B20" s="3" t="s">
        <v>7</v>
      </c>
      <c r="C20" s="3" t="s">
        <v>88</v>
      </c>
    </row>
    <row r="21" spans="1:3" x14ac:dyDescent="0.25">
      <c r="A21" s="19" t="s">
        <v>25</v>
      </c>
      <c r="B21" s="19" t="s">
        <v>7</v>
      </c>
      <c r="C21" s="19" t="s">
        <v>89</v>
      </c>
    </row>
    <row r="22" spans="1:3" x14ac:dyDescent="0.25">
      <c r="A22" s="19" t="s">
        <v>25</v>
      </c>
      <c r="B22" s="19" t="s">
        <v>7</v>
      </c>
      <c r="C22" s="19" t="s">
        <v>90</v>
      </c>
    </row>
    <row r="23" spans="1:3" x14ac:dyDescent="0.25">
      <c r="A23" s="19" t="s">
        <v>25</v>
      </c>
      <c r="B23" s="19" t="s">
        <v>26</v>
      </c>
      <c r="C23" s="19" t="s">
        <v>91</v>
      </c>
    </row>
    <row r="24" spans="1:3" x14ac:dyDescent="0.25">
      <c r="A24" s="19" t="s">
        <v>25</v>
      </c>
      <c r="B24" s="19" t="s">
        <v>7</v>
      </c>
      <c r="C24" s="19" t="s">
        <v>92</v>
      </c>
    </row>
    <row r="25" spans="1:3" ht="14.4" thickBot="1" x14ac:dyDescent="0.3">
      <c r="A25" s="6" t="s">
        <v>25</v>
      </c>
      <c r="B25" s="6" t="s">
        <v>26</v>
      </c>
      <c r="C25" s="6" t="s">
        <v>93</v>
      </c>
    </row>
    <row r="26" spans="1:3" x14ac:dyDescent="0.25">
      <c r="A26" s="3" t="s">
        <v>28</v>
      </c>
      <c r="B26" s="3" t="s">
        <v>4</v>
      </c>
      <c r="C26" s="3" t="s">
        <v>94</v>
      </c>
    </row>
    <row r="27" spans="1:3" x14ac:dyDescent="0.25">
      <c r="A27" s="19" t="s">
        <v>28</v>
      </c>
      <c r="B27" s="19" t="s">
        <v>4</v>
      </c>
      <c r="C27" s="19" t="s">
        <v>95</v>
      </c>
    </row>
    <row r="28" spans="1:3" x14ac:dyDescent="0.25">
      <c r="A28" s="19" t="s">
        <v>28</v>
      </c>
      <c r="B28" s="19" t="s">
        <v>4</v>
      </c>
      <c r="C28" s="19" t="s">
        <v>96</v>
      </c>
    </row>
    <row r="29" spans="1:3" x14ac:dyDescent="0.25">
      <c r="A29" s="19" t="s">
        <v>28</v>
      </c>
      <c r="B29" s="19" t="s">
        <v>4</v>
      </c>
      <c r="C29" s="19" t="s">
        <v>97</v>
      </c>
    </row>
    <row r="30" spans="1:3" x14ac:dyDescent="0.25">
      <c r="A30" s="19" t="s">
        <v>28</v>
      </c>
      <c r="B30" s="19" t="s">
        <v>4</v>
      </c>
      <c r="C30" s="19" t="s">
        <v>98</v>
      </c>
    </row>
    <row r="31" spans="1:3" ht="14.4" thickBot="1" x14ac:dyDescent="0.3">
      <c r="A31" s="6" t="s">
        <v>28</v>
      </c>
      <c r="B31" s="6" t="s">
        <v>10</v>
      </c>
      <c r="C31" s="6" t="s">
        <v>99</v>
      </c>
    </row>
    <row r="32" spans="1:3" x14ac:dyDescent="0.25">
      <c r="A32" s="19" t="s">
        <v>30</v>
      </c>
      <c r="B32" s="19" t="s">
        <v>4</v>
      </c>
      <c r="C32" s="19" t="s">
        <v>100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C6C6-113E-4717-A2A0-04E4F4B4689E}">
  <dimension ref="A1:A8"/>
  <sheetViews>
    <sheetView workbookViewId="0">
      <selection activeCell="A8" sqref="A8"/>
    </sheetView>
  </sheetViews>
  <sheetFormatPr defaultRowHeight="13.8" x14ac:dyDescent="0.25"/>
  <cols>
    <col min="1" max="1" width="17.44140625" bestFit="1" customWidth="1"/>
  </cols>
  <sheetData>
    <row r="1" spans="1:1" ht="14.4" thickBot="1" x14ac:dyDescent="0.3">
      <c r="A1" s="1" t="s">
        <v>1</v>
      </c>
    </row>
    <row r="2" spans="1:1" x14ac:dyDescent="0.25">
      <c r="A2" s="3" t="s">
        <v>4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51</v>
      </c>
    </row>
    <row r="6" spans="1:1" x14ac:dyDescent="0.25">
      <c r="A6" t="s">
        <v>52</v>
      </c>
    </row>
    <row r="7" spans="1:1" x14ac:dyDescent="0.25">
      <c r="A7" t="s">
        <v>53</v>
      </c>
    </row>
    <row r="8" spans="1:1" x14ac:dyDescent="0.25">
      <c r="A8" t="s">
        <v>54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B482-8603-4BBD-8107-624B21EC8A58}">
  <dimension ref="A1:D77"/>
  <sheetViews>
    <sheetView topLeftCell="A6" workbookViewId="0">
      <selection activeCell="B20" sqref="B20"/>
    </sheetView>
  </sheetViews>
  <sheetFormatPr defaultRowHeight="13.8" x14ac:dyDescent="0.25"/>
  <cols>
    <col min="1" max="2" width="30" customWidth="1"/>
    <col min="3" max="3" width="23.77734375" style="16" bestFit="1" customWidth="1"/>
    <col min="4" max="4" width="11.5546875" customWidth="1"/>
  </cols>
  <sheetData>
    <row r="1" spans="1:4" x14ac:dyDescent="0.25">
      <c r="A1" t="s">
        <v>46</v>
      </c>
      <c r="B1" t="s">
        <v>68</v>
      </c>
      <c r="C1" s="16" t="s">
        <v>44</v>
      </c>
      <c r="D1" t="s">
        <v>45</v>
      </c>
    </row>
    <row r="2" spans="1:4" x14ac:dyDescent="0.25">
      <c r="A2" s="13" t="s">
        <v>17</v>
      </c>
      <c r="B2" s="13"/>
    </row>
    <row r="3" spans="1:4" x14ac:dyDescent="0.25">
      <c r="A3" s="9" t="s">
        <v>4</v>
      </c>
      <c r="B3" s="9"/>
    </row>
    <row r="4" spans="1:4" s="12" customFormat="1" x14ac:dyDescent="0.25">
      <c r="A4" s="12" t="s">
        <v>5</v>
      </c>
      <c r="C4" s="17">
        <v>0.25557870370370372</v>
      </c>
    </row>
    <row r="5" spans="1:4" s="12" customFormat="1" x14ac:dyDescent="0.25">
      <c r="A5" s="12" t="s">
        <v>6</v>
      </c>
      <c r="C5" s="17">
        <v>0.26524305555555555</v>
      </c>
    </row>
    <row r="6" spans="1:4" x14ac:dyDescent="0.25">
      <c r="A6" s="13" t="s">
        <v>28</v>
      </c>
      <c r="B6" s="13"/>
    </row>
    <row r="7" spans="1:4" x14ac:dyDescent="0.25">
      <c r="A7" s="9" t="s">
        <v>10</v>
      </c>
      <c r="B7" s="9"/>
      <c r="C7" s="16" t="s">
        <v>47</v>
      </c>
      <c r="D7" t="s">
        <v>43</v>
      </c>
    </row>
    <row r="8" spans="1:4" x14ac:dyDescent="0.25">
      <c r="A8" s="9" t="s">
        <v>4</v>
      </c>
      <c r="B8" s="9"/>
    </row>
    <row r="9" spans="1:4" x14ac:dyDescent="0.25">
      <c r="A9" s="12" t="s">
        <v>9</v>
      </c>
      <c r="B9" s="12"/>
      <c r="C9" s="17">
        <v>0.11284722222222222</v>
      </c>
    </row>
    <row r="10" spans="1:4" x14ac:dyDescent="0.25">
      <c r="A10" s="12" t="s">
        <v>5</v>
      </c>
      <c r="B10" s="12"/>
      <c r="C10" s="17">
        <v>0.12174768518518518</v>
      </c>
      <c r="D10" s="15">
        <v>0.10625</v>
      </c>
    </row>
    <row r="11" spans="1:4" x14ac:dyDescent="0.25">
      <c r="A11" s="12" t="s">
        <v>6</v>
      </c>
      <c r="B11" s="12"/>
      <c r="C11" s="18">
        <v>9.930555555555555E-2</v>
      </c>
      <c r="D11" s="14">
        <v>0.10625</v>
      </c>
    </row>
    <row r="12" spans="1:4" x14ac:dyDescent="0.25">
      <c r="A12" s="13" t="s">
        <v>23</v>
      </c>
      <c r="B12" s="13"/>
    </row>
    <row r="13" spans="1:4" x14ac:dyDescent="0.25">
      <c r="A13" s="9" t="s">
        <v>12</v>
      </c>
      <c r="B13" s="9"/>
    </row>
    <row r="14" spans="1:4" x14ac:dyDescent="0.25">
      <c r="A14" s="12" t="s">
        <v>15</v>
      </c>
      <c r="B14" s="12"/>
    </row>
    <row r="15" spans="1:4" x14ac:dyDescent="0.25">
      <c r="A15" s="12" t="s">
        <v>24</v>
      </c>
      <c r="B15" s="12"/>
    </row>
    <row r="16" spans="1:4" x14ac:dyDescent="0.25">
      <c r="A16" s="12" t="s">
        <v>9</v>
      </c>
      <c r="B16" s="12"/>
      <c r="C16" s="14">
        <v>0.30503472222222222</v>
      </c>
    </row>
    <row r="17" spans="1:3" x14ac:dyDescent="0.25">
      <c r="A17" s="12" t="s">
        <v>19</v>
      </c>
      <c r="B17" s="12"/>
      <c r="C17" s="17">
        <v>0.28819444444444442</v>
      </c>
    </row>
    <row r="18" spans="1:3" x14ac:dyDescent="0.25">
      <c r="A18" s="13" t="s">
        <v>18</v>
      </c>
      <c r="B18" s="13"/>
    </row>
    <row r="19" spans="1:3" x14ac:dyDescent="0.25">
      <c r="A19" s="9" t="s">
        <v>10</v>
      </c>
      <c r="B19" s="9"/>
    </row>
    <row r="20" spans="1:3" x14ac:dyDescent="0.25">
      <c r="A20" s="12" t="s">
        <v>11</v>
      </c>
      <c r="B20" s="12"/>
      <c r="C20" s="16" t="s">
        <v>48</v>
      </c>
    </row>
    <row r="21" spans="1:3" x14ac:dyDescent="0.25">
      <c r="A21" s="9" t="s">
        <v>20</v>
      </c>
      <c r="B21" s="9"/>
    </row>
    <row r="22" spans="1:3" x14ac:dyDescent="0.25">
      <c r="A22" s="12" t="s">
        <v>21</v>
      </c>
      <c r="B22" s="12"/>
    </row>
    <row r="23" spans="1:3" x14ac:dyDescent="0.25">
      <c r="A23" s="9" t="s">
        <v>4</v>
      </c>
      <c r="B23" s="9"/>
    </row>
    <row r="24" spans="1:3" x14ac:dyDescent="0.25">
      <c r="A24" s="12" t="s">
        <v>5</v>
      </c>
      <c r="B24" s="12"/>
      <c r="C24" s="17">
        <v>0.35266203703703702</v>
      </c>
    </row>
    <row r="25" spans="1:3" x14ac:dyDescent="0.25">
      <c r="A25" s="12" t="s">
        <v>19</v>
      </c>
      <c r="B25" s="12"/>
      <c r="C25" s="16" t="s">
        <v>48</v>
      </c>
    </row>
    <row r="26" spans="1:3" x14ac:dyDescent="0.25">
      <c r="A26" s="12" t="s">
        <v>6</v>
      </c>
      <c r="B26" s="12"/>
    </row>
    <row r="27" spans="1:3" x14ac:dyDescent="0.25">
      <c r="A27" s="9" t="s">
        <v>12</v>
      </c>
      <c r="B27" s="9"/>
    </row>
    <row r="28" spans="1:3" x14ac:dyDescent="0.25">
      <c r="A28" s="12" t="s">
        <v>15</v>
      </c>
      <c r="B28" s="12"/>
    </row>
    <row r="29" spans="1:3" x14ac:dyDescent="0.25">
      <c r="A29" s="12" t="s">
        <v>6</v>
      </c>
      <c r="B29" s="12"/>
    </row>
    <row r="30" spans="1:3" x14ac:dyDescent="0.25">
      <c r="A30" s="9" t="s">
        <v>7</v>
      </c>
      <c r="B30" s="9"/>
    </row>
    <row r="31" spans="1:3" x14ac:dyDescent="0.25">
      <c r="A31" s="12" t="s">
        <v>9</v>
      </c>
      <c r="B31" s="12"/>
    </row>
    <row r="32" spans="1:3" x14ac:dyDescent="0.25">
      <c r="A32" s="12" t="s">
        <v>22</v>
      </c>
      <c r="B32" s="12"/>
    </row>
    <row r="33" spans="1:2" x14ac:dyDescent="0.25">
      <c r="A33" s="9" t="s">
        <v>13</v>
      </c>
      <c r="B33" s="9"/>
    </row>
    <row r="34" spans="1:2" x14ac:dyDescent="0.25">
      <c r="A34" s="12" t="s">
        <v>15</v>
      </c>
      <c r="B34" s="12"/>
    </row>
    <row r="35" spans="1:2" x14ac:dyDescent="0.25">
      <c r="A35" s="12" t="s">
        <v>6</v>
      </c>
      <c r="B35" s="12"/>
    </row>
    <row r="36" spans="1:2" x14ac:dyDescent="0.25">
      <c r="A36" s="13" t="s">
        <v>16</v>
      </c>
      <c r="B36" s="13"/>
    </row>
    <row r="37" spans="1:2" x14ac:dyDescent="0.25">
      <c r="A37" s="9" t="s">
        <v>4</v>
      </c>
      <c r="B37" s="9"/>
    </row>
    <row r="38" spans="1:2" x14ac:dyDescent="0.25">
      <c r="A38" s="12" t="s">
        <v>5</v>
      </c>
      <c r="B38" s="12"/>
    </row>
    <row r="39" spans="1:2" x14ac:dyDescent="0.25">
      <c r="A39" s="13" t="s">
        <v>30</v>
      </c>
      <c r="B39" s="13"/>
    </row>
    <row r="40" spans="1:2" x14ac:dyDescent="0.25">
      <c r="A40" s="9" t="s">
        <v>20</v>
      </c>
      <c r="B40" s="9"/>
    </row>
    <row r="41" spans="1:2" x14ac:dyDescent="0.25">
      <c r="A41" s="12" t="s">
        <v>9</v>
      </c>
      <c r="B41" s="12"/>
    </row>
    <row r="42" spans="1:2" x14ac:dyDescent="0.25">
      <c r="A42" s="9" t="s">
        <v>4</v>
      </c>
      <c r="B42" s="9"/>
    </row>
    <row r="43" spans="1:2" x14ac:dyDescent="0.25">
      <c r="A43" s="12" t="s">
        <v>9</v>
      </c>
      <c r="B43" s="12"/>
    </row>
    <row r="44" spans="1:2" x14ac:dyDescent="0.25">
      <c r="A44" s="12" t="s">
        <v>5</v>
      </c>
      <c r="B44" s="12"/>
    </row>
    <row r="45" spans="1:2" x14ac:dyDescent="0.25">
      <c r="A45" s="12" t="s">
        <v>6</v>
      </c>
      <c r="B45" s="12"/>
    </row>
    <row r="46" spans="1:2" x14ac:dyDescent="0.25">
      <c r="A46" s="9" t="s">
        <v>12</v>
      </c>
      <c r="B46" s="9"/>
    </row>
    <row r="47" spans="1:2" x14ac:dyDescent="0.25">
      <c r="A47" s="12" t="s">
        <v>31</v>
      </c>
      <c r="B47" s="12"/>
    </row>
    <row r="48" spans="1:2" x14ac:dyDescent="0.25">
      <c r="A48" s="9" t="s">
        <v>7</v>
      </c>
      <c r="B48" s="9"/>
    </row>
    <row r="49" spans="1:2" x14ac:dyDescent="0.25">
      <c r="A49" s="12" t="s">
        <v>9</v>
      </c>
      <c r="B49" s="12"/>
    </row>
    <row r="50" spans="1:2" x14ac:dyDescent="0.25">
      <c r="A50" s="12" t="s">
        <v>5</v>
      </c>
      <c r="B50" s="12"/>
    </row>
    <row r="51" spans="1:2" x14ac:dyDescent="0.25">
      <c r="A51" s="9" t="s">
        <v>13</v>
      </c>
      <c r="B51" s="9"/>
    </row>
    <row r="52" spans="1:2" x14ac:dyDescent="0.25">
      <c r="A52" s="12" t="s">
        <v>9</v>
      </c>
      <c r="B52" s="12"/>
    </row>
    <row r="53" spans="1:2" x14ac:dyDescent="0.25">
      <c r="A53" s="8" t="s">
        <v>3</v>
      </c>
      <c r="B53" s="8"/>
    </row>
    <row r="54" spans="1:2" x14ac:dyDescent="0.25">
      <c r="A54" s="9" t="s">
        <v>10</v>
      </c>
      <c r="B54" s="9"/>
    </row>
    <row r="55" spans="1:2" x14ac:dyDescent="0.25">
      <c r="A55" s="12" t="s">
        <v>11</v>
      </c>
      <c r="B55" s="12"/>
    </row>
    <row r="56" spans="1:2" x14ac:dyDescent="0.25">
      <c r="A56" s="9" t="s">
        <v>4</v>
      </c>
      <c r="B56" s="9"/>
    </row>
    <row r="57" spans="1:2" x14ac:dyDescent="0.25">
      <c r="A57" s="12" t="s">
        <v>5</v>
      </c>
      <c r="B57" s="12"/>
    </row>
    <row r="58" spans="1:2" x14ac:dyDescent="0.25">
      <c r="A58" s="12" t="s">
        <v>6</v>
      </c>
      <c r="B58" s="12"/>
    </row>
    <row r="59" spans="1:2" x14ac:dyDescent="0.25">
      <c r="A59" s="9" t="s">
        <v>12</v>
      </c>
      <c r="B59" s="9"/>
    </row>
    <row r="60" spans="1:2" x14ac:dyDescent="0.25">
      <c r="A60" s="12" t="s">
        <v>9</v>
      </c>
      <c r="B60" s="12"/>
    </row>
    <row r="61" spans="1:2" x14ac:dyDescent="0.25">
      <c r="A61" s="9" t="s">
        <v>7</v>
      </c>
      <c r="B61" s="9"/>
    </row>
    <row r="62" spans="1:2" x14ac:dyDescent="0.25">
      <c r="A62" s="12" t="s">
        <v>9</v>
      </c>
      <c r="B62" s="12"/>
    </row>
    <row r="63" spans="1:2" x14ac:dyDescent="0.25">
      <c r="A63" s="12" t="s">
        <v>14</v>
      </c>
      <c r="B63" s="12"/>
    </row>
    <row r="64" spans="1:2" x14ac:dyDescent="0.25">
      <c r="A64" s="12" t="s">
        <v>8</v>
      </c>
      <c r="B64" s="12"/>
    </row>
    <row r="65" spans="1:2" x14ac:dyDescent="0.25">
      <c r="A65" s="9" t="s">
        <v>13</v>
      </c>
      <c r="B65" s="9"/>
    </row>
    <row r="66" spans="1:2" x14ac:dyDescent="0.25">
      <c r="A66" s="12" t="s">
        <v>15</v>
      </c>
      <c r="B66" s="12"/>
    </row>
    <row r="67" spans="1:2" x14ac:dyDescent="0.25">
      <c r="A67" s="12" t="s">
        <v>9</v>
      </c>
      <c r="B67" s="12"/>
    </row>
    <row r="68" spans="1:2" x14ac:dyDescent="0.25">
      <c r="A68" s="8" t="s">
        <v>25</v>
      </c>
      <c r="B68" s="8"/>
    </row>
    <row r="69" spans="1:2" x14ac:dyDescent="0.25">
      <c r="A69" s="9" t="s">
        <v>26</v>
      </c>
      <c r="B69" s="9"/>
    </row>
    <row r="70" spans="1:2" x14ac:dyDescent="0.25">
      <c r="A70" s="12" t="s">
        <v>6</v>
      </c>
      <c r="B70" s="12"/>
    </row>
    <row r="71" spans="1:2" x14ac:dyDescent="0.25">
      <c r="A71" s="12" t="s">
        <v>27</v>
      </c>
      <c r="B71" s="12"/>
    </row>
    <row r="72" spans="1:2" x14ac:dyDescent="0.25">
      <c r="A72" s="9" t="s">
        <v>7</v>
      </c>
      <c r="B72" s="9"/>
    </row>
    <row r="73" spans="1:2" x14ac:dyDescent="0.25">
      <c r="A73" s="12" t="s">
        <v>5</v>
      </c>
      <c r="B73" s="12"/>
    </row>
    <row r="74" spans="1:2" x14ac:dyDescent="0.25">
      <c r="A74" s="12" t="s">
        <v>6</v>
      </c>
      <c r="B74" s="12"/>
    </row>
    <row r="75" spans="1:2" x14ac:dyDescent="0.25">
      <c r="A75" s="8" t="s">
        <v>32</v>
      </c>
      <c r="B75" s="8"/>
    </row>
    <row r="76" spans="1:2" x14ac:dyDescent="0.25">
      <c r="A76" s="9" t="s">
        <v>32</v>
      </c>
      <c r="B76" s="9"/>
    </row>
    <row r="77" spans="1:2" x14ac:dyDescent="0.25">
      <c r="A77" s="12" t="s">
        <v>32</v>
      </c>
      <c r="B77" s="12"/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DB33-53ED-461F-B81D-F0F682B0BDE6}">
  <dimension ref="A1:E15"/>
  <sheetViews>
    <sheetView zoomScale="90" zoomScaleNormal="90" workbookViewId="0">
      <selection activeCell="B8" sqref="B8"/>
    </sheetView>
  </sheetViews>
  <sheetFormatPr defaultRowHeight="13.8" x14ac:dyDescent="0.25"/>
  <cols>
    <col min="1" max="1" width="35.5546875" bestFit="1" customWidth="1"/>
    <col min="2" max="2" width="17.88671875" bestFit="1" customWidth="1"/>
    <col min="3" max="3" width="20.33203125" bestFit="1" customWidth="1"/>
    <col min="4" max="4" width="19" bestFit="1" customWidth="1"/>
    <col min="5" max="5" width="17.77734375" bestFit="1" customWidth="1"/>
  </cols>
  <sheetData>
    <row r="1" spans="1:5" ht="14.4" thickBot="1" x14ac:dyDescent="0.3">
      <c r="A1" s="1" t="s">
        <v>2</v>
      </c>
      <c r="B1" s="1" t="s">
        <v>34</v>
      </c>
      <c r="C1" s="1" t="s">
        <v>38</v>
      </c>
      <c r="D1" s="1" t="s">
        <v>35</v>
      </c>
      <c r="E1" s="1" t="s">
        <v>36</v>
      </c>
    </row>
    <row r="2" spans="1:5" x14ac:dyDescent="0.25">
      <c r="A2" s="3" t="s">
        <v>15</v>
      </c>
      <c r="B2">
        <v>840</v>
      </c>
      <c r="C2">
        <v>826</v>
      </c>
      <c r="D2">
        <f t="shared" ref="D2:D15" si="0">ROUNDUP(E2/50+2*2,0)</f>
        <v>7</v>
      </c>
      <c r="E2">
        <v>150</v>
      </c>
    </row>
    <row r="3" spans="1:5" x14ac:dyDescent="0.25">
      <c r="A3" t="s">
        <v>11</v>
      </c>
      <c r="B3">
        <v>828</v>
      </c>
      <c r="C3">
        <v>950</v>
      </c>
      <c r="D3">
        <f t="shared" si="0"/>
        <v>8</v>
      </c>
      <c r="E3">
        <v>186</v>
      </c>
    </row>
    <row r="4" spans="1:5" x14ac:dyDescent="0.25">
      <c r="A4" t="s">
        <v>24</v>
      </c>
      <c r="B4">
        <v>828</v>
      </c>
      <c r="C4">
        <v>650</v>
      </c>
      <c r="D4">
        <f t="shared" si="0"/>
        <v>8</v>
      </c>
      <c r="E4">
        <v>186</v>
      </c>
    </row>
    <row r="5" spans="1:5" x14ac:dyDescent="0.25">
      <c r="A5" t="s">
        <v>37</v>
      </c>
      <c r="B5">
        <v>860</v>
      </c>
      <c r="C5">
        <v>1850</v>
      </c>
      <c r="D5">
        <f t="shared" si="0"/>
        <v>11</v>
      </c>
      <c r="E5">
        <v>335</v>
      </c>
    </row>
    <row r="6" spans="1:5" x14ac:dyDescent="0.25">
      <c r="A6" t="s">
        <v>31</v>
      </c>
      <c r="B6" s="10">
        <f>487*1.852</f>
        <v>901.92400000000009</v>
      </c>
      <c r="C6">
        <v>1850</v>
      </c>
      <c r="D6">
        <f t="shared" si="0"/>
        <v>11</v>
      </c>
      <c r="E6">
        <v>350</v>
      </c>
    </row>
    <row r="7" spans="1:5" x14ac:dyDescent="0.25">
      <c r="A7" t="s">
        <v>9</v>
      </c>
      <c r="B7" s="10">
        <f>487*1.852</f>
        <v>901.92400000000009</v>
      </c>
      <c r="C7">
        <v>1900</v>
      </c>
      <c r="D7">
        <f t="shared" si="0"/>
        <v>11</v>
      </c>
      <c r="E7">
        <v>314</v>
      </c>
    </row>
    <row r="8" spans="1:5" x14ac:dyDescent="0.25">
      <c r="A8" t="s">
        <v>5</v>
      </c>
      <c r="B8" s="10">
        <f>520*1.852</f>
        <v>963.04000000000008</v>
      </c>
      <c r="C8">
        <v>3900</v>
      </c>
      <c r="D8">
        <f t="shared" si="0"/>
        <v>16</v>
      </c>
      <c r="E8">
        <v>555</v>
      </c>
    </row>
    <row r="9" spans="1:5" x14ac:dyDescent="0.25">
      <c r="A9" t="s">
        <v>14</v>
      </c>
      <c r="B9" s="10">
        <f>0.785*1234.8</f>
        <v>969.31799999999998</v>
      </c>
      <c r="C9">
        <v>720</v>
      </c>
      <c r="D9">
        <f t="shared" si="0"/>
        <v>8</v>
      </c>
      <c r="E9">
        <v>170</v>
      </c>
    </row>
    <row r="10" spans="1:5" x14ac:dyDescent="0.25">
      <c r="A10" t="s">
        <v>22</v>
      </c>
      <c r="B10">
        <v>907</v>
      </c>
      <c r="C10">
        <v>3400</v>
      </c>
      <c r="D10">
        <f t="shared" si="0"/>
        <v>13</v>
      </c>
      <c r="E10">
        <v>416</v>
      </c>
    </row>
    <row r="11" spans="1:5" x14ac:dyDescent="0.25">
      <c r="A11" t="s">
        <v>19</v>
      </c>
      <c r="B11">
        <v>905</v>
      </c>
      <c r="C11">
        <v>2450</v>
      </c>
      <c r="D11">
        <f t="shared" si="0"/>
        <v>11</v>
      </c>
      <c r="E11">
        <v>305</v>
      </c>
    </row>
    <row r="12" spans="1:5" x14ac:dyDescent="0.25">
      <c r="A12" t="s">
        <v>6</v>
      </c>
      <c r="B12">
        <v>893</v>
      </c>
      <c r="C12">
        <v>2400</v>
      </c>
      <c r="D12">
        <f t="shared" si="0"/>
        <v>12</v>
      </c>
      <c r="E12">
        <v>390</v>
      </c>
    </row>
    <row r="13" spans="1:5" x14ac:dyDescent="0.25">
      <c r="A13" t="s">
        <v>8</v>
      </c>
      <c r="B13">
        <v>913</v>
      </c>
      <c r="C13">
        <v>1750</v>
      </c>
      <c r="D13">
        <f t="shared" si="0"/>
        <v>9</v>
      </c>
      <c r="E13">
        <v>230</v>
      </c>
    </row>
    <row r="14" spans="1:5" x14ac:dyDescent="0.25">
      <c r="A14" t="s">
        <v>29</v>
      </c>
      <c r="B14" s="10">
        <v>913</v>
      </c>
      <c r="C14">
        <v>1750</v>
      </c>
      <c r="D14">
        <f t="shared" si="0"/>
        <v>9</v>
      </c>
      <c r="E14">
        <v>230</v>
      </c>
    </row>
    <row r="15" spans="1:5" x14ac:dyDescent="0.25">
      <c r="A15" t="s">
        <v>27</v>
      </c>
      <c r="B15" s="10">
        <f>490*1.852</f>
        <v>907.48</v>
      </c>
      <c r="C15">
        <v>1750</v>
      </c>
      <c r="D15">
        <f t="shared" si="0"/>
        <v>9</v>
      </c>
      <c r="E15">
        <v>230</v>
      </c>
    </row>
  </sheetData>
  <autoFilter ref="A1:A149" xr:uid="{AE55DB33-53ED-461F-B81D-F0F682B0BDE6}">
    <sortState xmlns:xlrd2="http://schemas.microsoft.com/office/spreadsheetml/2017/richdata2" ref="A2:E149">
      <sortCondition ref="A1:A149"/>
    </sortState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Sheet3</vt:lpstr>
      <vt:lpstr>flightaware_final_data</vt:lpstr>
      <vt:lpstr>直飞航班</vt:lpstr>
      <vt:lpstr>Sheet7</vt:lpstr>
      <vt:lpstr>Sheet1</vt:lpstr>
      <vt:lpstr>航司</vt:lpstr>
      <vt:lpstr>航线</vt:lpstr>
      <vt:lpstr>机型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#LIU, JIANI#</cp:lastModifiedBy>
  <dcterms:created xsi:type="dcterms:W3CDTF">2026-04-26T08:34:45Z</dcterms:created>
  <dcterms:modified xsi:type="dcterms:W3CDTF">2026-04-28T06:45:50Z</dcterms:modified>
</cp:coreProperties>
</file>
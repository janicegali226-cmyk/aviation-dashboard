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TU BA\T3\project\"/>
    </mc:Choice>
  </mc:AlternateContent>
  <xr:revisionPtr revIDLastSave="0" documentId="13_ncr:1_{33BD2BB1-1241-4B1D-9692-C57685DDF482}" xr6:coauthVersionLast="47" xr6:coauthVersionMax="47" xr10:uidLastSave="{00000000-0000-0000-0000-000000000000}"/>
  <bookViews>
    <workbookView xWindow="8676" yWindow="1020" windowWidth="11556" windowHeight="10020" xr2:uid="{39AB6E73-83AF-41F0-B45F-2F93FF39141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9" i="1" l="1"/>
  <c r="F149" i="1"/>
  <c r="E149" i="1"/>
  <c r="D149" i="1"/>
  <c r="G148" i="1"/>
  <c r="F148" i="1"/>
  <c r="E148" i="1"/>
  <c r="D148" i="1"/>
  <c r="G147" i="1"/>
  <c r="F147" i="1"/>
  <c r="E147" i="1"/>
  <c r="D147" i="1"/>
  <c r="G146" i="1"/>
  <c r="F146" i="1"/>
  <c r="E146" i="1"/>
  <c r="D146" i="1"/>
  <c r="G145" i="1"/>
  <c r="F145" i="1"/>
  <c r="E145" i="1"/>
  <c r="D145" i="1"/>
  <c r="G144" i="1"/>
  <c r="F144" i="1"/>
  <c r="E144" i="1"/>
  <c r="D144" i="1"/>
  <c r="G143" i="1"/>
  <c r="F143" i="1"/>
  <c r="E143" i="1"/>
  <c r="D143" i="1"/>
  <c r="G142" i="1"/>
  <c r="F142" i="1"/>
  <c r="E142" i="1"/>
  <c r="D142" i="1"/>
  <c r="G141" i="1"/>
  <c r="F141" i="1"/>
  <c r="E141" i="1"/>
  <c r="D141" i="1"/>
  <c r="G140" i="1"/>
  <c r="F140" i="1"/>
  <c r="E140" i="1"/>
  <c r="D140" i="1"/>
  <c r="G139" i="1"/>
  <c r="F139" i="1"/>
  <c r="E139" i="1"/>
  <c r="D139" i="1"/>
  <c r="G138" i="1"/>
  <c r="F138" i="1"/>
  <c r="E138" i="1"/>
  <c r="D138" i="1"/>
  <c r="G137" i="1"/>
  <c r="F137" i="1"/>
  <c r="E137" i="1"/>
  <c r="D137" i="1"/>
  <c r="G136" i="1"/>
  <c r="F136" i="1"/>
  <c r="E136" i="1"/>
  <c r="D136" i="1"/>
  <c r="G135" i="1"/>
  <c r="F135" i="1"/>
  <c r="E135" i="1"/>
  <c r="D135" i="1"/>
  <c r="G134" i="1"/>
  <c r="F134" i="1"/>
  <c r="E134" i="1"/>
  <c r="D134" i="1"/>
  <c r="G133" i="1"/>
  <c r="F133" i="1"/>
  <c r="E133" i="1"/>
  <c r="D133" i="1"/>
  <c r="G132" i="1"/>
  <c r="F132" i="1"/>
  <c r="E132" i="1"/>
  <c r="D132" i="1"/>
  <c r="G131" i="1"/>
  <c r="F131" i="1"/>
  <c r="E131" i="1"/>
  <c r="D131" i="1"/>
  <c r="G130" i="1"/>
  <c r="F130" i="1"/>
  <c r="E130" i="1"/>
  <c r="D130" i="1"/>
  <c r="G129" i="1"/>
  <c r="F129" i="1"/>
  <c r="E129" i="1"/>
  <c r="D129" i="1"/>
  <c r="G128" i="1"/>
  <c r="F128" i="1"/>
  <c r="E128" i="1"/>
  <c r="D128" i="1"/>
  <c r="G127" i="1"/>
  <c r="F127" i="1"/>
  <c r="E127" i="1"/>
  <c r="D127" i="1"/>
  <c r="G126" i="1"/>
  <c r="F126" i="1"/>
  <c r="E126" i="1"/>
  <c r="D126" i="1"/>
  <c r="G125" i="1"/>
  <c r="F125" i="1"/>
  <c r="E125" i="1"/>
  <c r="D125" i="1"/>
  <c r="G124" i="1"/>
  <c r="F124" i="1"/>
  <c r="E124" i="1"/>
  <c r="D124" i="1"/>
  <c r="G123" i="1"/>
  <c r="F123" i="1"/>
  <c r="E123" i="1"/>
  <c r="D123" i="1"/>
  <c r="G122" i="1"/>
  <c r="F122" i="1"/>
  <c r="E122" i="1"/>
  <c r="D122" i="1"/>
  <c r="G121" i="1"/>
  <c r="F121" i="1"/>
  <c r="E121" i="1"/>
  <c r="D121" i="1"/>
  <c r="G120" i="1"/>
  <c r="F120" i="1"/>
  <c r="E120" i="1"/>
  <c r="D120" i="1"/>
  <c r="G119" i="1"/>
  <c r="F119" i="1"/>
  <c r="E119" i="1"/>
  <c r="D119" i="1"/>
  <c r="G118" i="1"/>
  <c r="F118" i="1"/>
  <c r="E118" i="1"/>
  <c r="D118" i="1"/>
  <c r="G117" i="1"/>
  <c r="F117" i="1"/>
  <c r="E117" i="1"/>
  <c r="D117" i="1"/>
  <c r="G116" i="1"/>
  <c r="F116" i="1"/>
  <c r="E116" i="1"/>
  <c r="D116" i="1"/>
  <c r="G115" i="1"/>
  <c r="F115" i="1"/>
  <c r="E115" i="1"/>
  <c r="D115" i="1"/>
  <c r="G114" i="1"/>
  <c r="F114" i="1"/>
  <c r="E114" i="1"/>
  <c r="D114" i="1"/>
  <c r="G113" i="1"/>
  <c r="F113" i="1"/>
  <c r="E113" i="1"/>
  <c r="D113" i="1"/>
  <c r="G112" i="1"/>
  <c r="F112" i="1"/>
  <c r="E112" i="1"/>
  <c r="D112" i="1"/>
  <c r="G111" i="1"/>
  <c r="F111" i="1"/>
  <c r="E111" i="1"/>
  <c r="D111" i="1"/>
  <c r="G110" i="1"/>
  <c r="F110" i="1"/>
  <c r="E110" i="1"/>
  <c r="D110" i="1"/>
  <c r="G109" i="1"/>
  <c r="F109" i="1"/>
  <c r="E109" i="1"/>
  <c r="D109" i="1"/>
  <c r="G108" i="1"/>
  <c r="F108" i="1"/>
  <c r="E108" i="1"/>
  <c r="D108" i="1"/>
  <c r="G107" i="1"/>
  <c r="F107" i="1"/>
  <c r="E107" i="1"/>
  <c r="D107" i="1"/>
  <c r="G106" i="1"/>
  <c r="F106" i="1"/>
  <c r="E106" i="1"/>
  <c r="D106" i="1"/>
  <c r="G105" i="1"/>
  <c r="F105" i="1"/>
  <c r="E105" i="1"/>
  <c r="D105" i="1"/>
  <c r="G104" i="1"/>
  <c r="F104" i="1"/>
  <c r="E104" i="1"/>
  <c r="D104" i="1"/>
  <c r="G103" i="1"/>
  <c r="F103" i="1"/>
  <c r="E103" i="1"/>
  <c r="D103" i="1"/>
  <c r="G102" i="1"/>
  <c r="F102" i="1"/>
  <c r="E102" i="1"/>
  <c r="D102" i="1"/>
  <c r="G101" i="1"/>
  <c r="F101" i="1"/>
  <c r="E101" i="1"/>
  <c r="D101" i="1"/>
  <c r="G100" i="1"/>
  <c r="F100" i="1"/>
  <c r="E100" i="1"/>
  <c r="D100" i="1"/>
  <c r="G99" i="1"/>
  <c r="F99" i="1"/>
  <c r="E99" i="1"/>
  <c r="D99" i="1"/>
  <c r="G98" i="1"/>
  <c r="F98" i="1"/>
  <c r="E98" i="1"/>
  <c r="D98" i="1"/>
  <c r="G97" i="1"/>
  <c r="F97" i="1"/>
  <c r="E97" i="1"/>
  <c r="D97" i="1"/>
  <c r="G96" i="1"/>
  <c r="F96" i="1"/>
  <c r="E96" i="1"/>
  <c r="D96" i="1"/>
  <c r="G95" i="1"/>
  <c r="F95" i="1"/>
  <c r="E95" i="1"/>
  <c r="D95" i="1"/>
  <c r="G94" i="1"/>
  <c r="F94" i="1"/>
  <c r="E94" i="1"/>
  <c r="D94" i="1"/>
  <c r="G93" i="1"/>
  <c r="F93" i="1"/>
  <c r="E93" i="1"/>
  <c r="D93" i="1"/>
  <c r="G92" i="1"/>
  <c r="F92" i="1"/>
  <c r="E92" i="1"/>
  <c r="D92" i="1"/>
  <c r="G91" i="1"/>
  <c r="F91" i="1"/>
  <c r="E91" i="1"/>
  <c r="D91" i="1"/>
  <c r="G90" i="1"/>
  <c r="F90" i="1"/>
  <c r="E90" i="1"/>
  <c r="D90" i="1"/>
  <c r="G89" i="1"/>
  <c r="F89" i="1"/>
  <c r="E89" i="1"/>
  <c r="D89" i="1"/>
  <c r="G88" i="1"/>
  <c r="F88" i="1"/>
  <c r="E88" i="1"/>
  <c r="D88" i="1"/>
  <c r="G87" i="1"/>
  <c r="F87" i="1"/>
  <c r="E87" i="1"/>
  <c r="D87" i="1"/>
  <c r="G86" i="1"/>
  <c r="F86" i="1"/>
  <c r="E86" i="1"/>
  <c r="D86" i="1"/>
  <c r="G85" i="1"/>
  <c r="F85" i="1"/>
  <c r="E85" i="1"/>
  <c r="D85" i="1"/>
  <c r="G84" i="1"/>
  <c r="F84" i="1"/>
  <c r="E84" i="1"/>
  <c r="D84" i="1"/>
  <c r="G83" i="1"/>
  <c r="F83" i="1"/>
  <c r="E83" i="1"/>
  <c r="D83" i="1"/>
  <c r="G82" i="1"/>
  <c r="F82" i="1"/>
  <c r="E82" i="1"/>
  <c r="D82" i="1"/>
  <c r="G81" i="1"/>
  <c r="F81" i="1"/>
  <c r="E81" i="1"/>
  <c r="D81" i="1"/>
  <c r="G80" i="1"/>
  <c r="F80" i="1"/>
  <c r="E80" i="1"/>
  <c r="D80" i="1"/>
  <c r="G79" i="1"/>
  <c r="F79" i="1"/>
  <c r="E79" i="1"/>
  <c r="D79" i="1"/>
  <c r="G78" i="1"/>
  <c r="F78" i="1"/>
  <c r="E78" i="1"/>
  <c r="D78" i="1"/>
  <c r="G77" i="1"/>
  <c r="F77" i="1"/>
  <c r="E77" i="1"/>
  <c r="D77" i="1"/>
  <c r="G76" i="1"/>
  <c r="F76" i="1"/>
  <c r="E76" i="1"/>
  <c r="D76" i="1"/>
  <c r="G75" i="1"/>
  <c r="F75" i="1"/>
  <c r="E75" i="1"/>
  <c r="D75" i="1"/>
  <c r="G74" i="1"/>
  <c r="F74" i="1"/>
  <c r="E74" i="1"/>
  <c r="D74" i="1"/>
  <c r="G73" i="1"/>
  <c r="F73" i="1"/>
  <c r="E73" i="1"/>
  <c r="D73" i="1"/>
  <c r="G72" i="1"/>
  <c r="F72" i="1"/>
  <c r="E72" i="1"/>
  <c r="D72" i="1"/>
  <c r="G71" i="1"/>
  <c r="F71" i="1"/>
  <c r="E71" i="1"/>
  <c r="D71" i="1"/>
  <c r="G70" i="1"/>
  <c r="F70" i="1"/>
  <c r="E70" i="1"/>
  <c r="D70" i="1"/>
  <c r="G69" i="1"/>
  <c r="F69" i="1"/>
  <c r="E69" i="1"/>
  <c r="D69" i="1"/>
  <c r="G68" i="1"/>
  <c r="F68" i="1"/>
  <c r="E68" i="1"/>
  <c r="D68" i="1"/>
  <c r="G67" i="1"/>
  <c r="F67" i="1"/>
  <c r="E67" i="1"/>
  <c r="D67" i="1"/>
  <c r="G66" i="1"/>
  <c r="F66" i="1"/>
  <c r="E66" i="1"/>
  <c r="D66" i="1"/>
  <c r="G65" i="1"/>
  <c r="F65" i="1"/>
  <c r="E65" i="1"/>
  <c r="D65" i="1"/>
  <c r="G64" i="1"/>
  <c r="F64" i="1"/>
  <c r="E64" i="1"/>
  <c r="D64" i="1"/>
  <c r="G63" i="1"/>
  <c r="F63" i="1"/>
  <c r="E63" i="1"/>
  <c r="D63" i="1"/>
  <c r="G62" i="1"/>
  <c r="F62" i="1"/>
  <c r="E62" i="1"/>
  <c r="D62" i="1"/>
  <c r="G61" i="1"/>
  <c r="F61" i="1"/>
  <c r="E61" i="1"/>
  <c r="D61" i="1"/>
  <c r="G60" i="1"/>
  <c r="F60" i="1"/>
  <c r="E60" i="1"/>
  <c r="D60" i="1"/>
  <c r="G59" i="1"/>
  <c r="F59" i="1"/>
  <c r="E59" i="1"/>
  <c r="D59" i="1"/>
  <c r="G58" i="1"/>
  <c r="F58" i="1"/>
  <c r="E58" i="1"/>
  <c r="D58" i="1"/>
  <c r="G57" i="1"/>
  <c r="F57" i="1"/>
  <c r="E57" i="1"/>
  <c r="D57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G52" i="1"/>
  <c r="F52" i="1"/>
  <c r="E52" i="1"/>
  <c r="D52" i="1"/>
  <c r="G51" i="1"/>
  <c r="F51" i="1"/>
  <c r="E51" i="1"/>
  <c r="D51" i="1"/>
  <c r="G50" i="1"/>
  <c r="F50" i="1"/>
  <c r="E50" i="1"/>
  <c r="D50" i="1"/>
  <c r="G49" i="1"/>
  <c r="F49" i="1"/>
  <c r="E49" i="1"/>
  <c r="D49" i="1"/>
  <c r="G48" i="1"/>
  <c r="F48" i="1"/>
  <c r="E48" i="1"/>
  <c r="D48" i="1"/>
  <c r="G47" i="1"/>
  <c r="F47" i="1"/>
  <c r="E47" i="1"/>
  <c r="D47" i="1"/>
  <c r="G46" i="1"/>
  <c r="F46" i="1"/>
  <c r="E46" i="1"/>
  <c r="D46" i="1"/>
  <c r="G45" i="1"/>
  <c r="F45" i="1"/>
  <c r="E45" i="1"/>
  <c r="D45" i="1"/>
  <c r="G44" i="1"/>
  <c r="F44" i="1"/>
  <c r="E44" i="1"/>
  <c r="D44" i="1"/>
  <c r="G43" i="1"/>
  <c r="F43" i="1"/>
  <c r="E43" i="1"/>
  <c r="D43" i="1"/>
  <c r="G42" i="1"/>
  <c r="F42" i="1"/>
  <c r="E42" i="1"/>
  <c r="D42" i="1"/>
  <c r="G41" i="1"/>
  <c r="F41" i="1"/>
  <c r="E41" i="1"/>
  <c r="D41" i="1"/>
  <c r="G40" i="1"/>
  <c r="F40" i="1"/>
  <c r="E40" i="1"/>
  <c r="D40" i="1"/>
  <c r="G39" i="1"/>
  <c r="F39" i="1"/>
  <c r="E39" i="1"/>
  <c r="D39" i="1"/>
  <c r="G38" i="1"/>
  <c r="F38" i="1"/>
  <c r="E38" i="1"/>
  <c r="D38" i="1"/>
  <c r="G37" i="1"/>
  <c r="F37" i="1"/>
  <c r="E37" i="1"/>
  <c r="D37" i="1"/>
  <c r="G36" i="1"/>
  <c r="F36" i="1"/>
  <c r="E36" i="1"/>
  <c r="D36" i="1"/>
  <c r="G35" i="1"/>
  <c r="F35" i="1"/>
  <c r="E35" i="1"/>
  <c r="D35" i="1"/>
  <c r="G34" i="1"/>
  <c r="F34" i="1"/>
  <c r="E34" i="1"/>
  <c r="D34" i="1"/>
  <c r="G33" i="1"/>
  <c r="F33" i="1"/>
  <c r="E33" i="1"/>
  <c r="D33" i="1"/>
  <c r="G32" i="1"/>
  <c r="F32" i="1"/>
  <c r="E32" i="1"/>
  <c r="D32" i="1"/>
  <c r="G31" i="1"/>
  <c r="F31" i="1"/>
  <c r="E31" i="1"/>
  <c r="D31" i="1"/>
  <c r="G30" i="1"/>
  <c r="F30" i="1"/>
  <c r="E30" i="1"/>
  <c r="D30" i="1"/>
  <c r="G29" i="1"/>
  <c r="F29" i="1"/>
  <c r="E29" i="1"/>
  <c r="D29" i="1"/>
  <c r="G28" i="1"/>
  <c r="F28" i="1"/>
  <c r="E28" i="1"/>
  <c r="D28" i="1"/>
  <c r="G27" i="1"/>
  <c r="F27" i="1"/>
  <c r="E27" i="1"/>
  <c r="D27" i="1"/>
  <c r="G26" i="1"/>
  <c r="F26" i="1"/>
  <c r="E26" i="1"/>
  <c r="D26" i="1"/>
  <c r="G25" i="1"/>
  <c r="F25" i="1"/>
  <c r="E25" i="1"/>
  <c r="D25" i="1"/>
  <c r="G24" i="1"/>
  <c r="F24" i="1"/>
  <c r="E24" i="1"/>
  <c r="D24" i="1"/>
  <c r="G23" i="1"/>
  <c r="F23" i="1"/>
  <c r="E23" i="1"/>
  <c r="D23" i="1"/>
  <c r="G22" i="1"/>
  <c r="F22" i="1"/>
  <c r="E22" i="1"/>
  <c r="D22" i="1"/>
  <c r="G21" i="1"/>
  <c r="F21" i="1"/>
  <c r="E21" i="1"/>
  <c r="D21" i="1"/>
  <c r="G20" i="1"/>
  <c r="F20" i="1"/>
  <c r="E20" i="1"/>
  <c r="D20" i="1"/>
  <c r="G19" i="1"/>
  <c r="F19" i="1"/>
  <c r="E19" i="1"/>
  <c r="D19" i="1"/>
  <c r="G18" i="1"/>
  <c r="F18" i="1"/>
  <c r="E18" i="1"/>
  <c r="D18" i="1"/>
  <c r="G17" i="1"/>
  <c r="F17" i="1"/>
  <c r="E17" i="1"/>
  <c r="D17" i="1"/>
  <c r="G16" i="1"/>
  <c r="F16" i="1"/>
  <c r="E16" i="1"/>
  <c r="D16" i="1"/>
  <c r="G15" i="1"/>
  <c r="F15" i="1"/>
  <c r="E15" i="1"/>
  <c r="D15" i="1"/>
  <c r="G14" i="1"/>
  <c r="F14" i="1"/>
  <c r="E14" i="1"/>
  <c r="D14" i="1"/>
  <c r="G13" i="1"/>
  <c r="F13" i="1"/>
  <c r="E13" i="1"/>
  <c r="D13" i="1"/>
  <c r="G12" i="1"/>
  <c r="F12" i="1"/>
  <c r="E12" i="1"/>
  <c r="D12" i="1"/>
  <c r="G11" i="1"/>
  <c r="F11" i="1"/>
  <c r="E11" i="1"/>
  <c r="D11" i="1"/>
  <c r="G10" i="1"/>
  <c r="F10" i="1"/>
  <c r="E10" i="1"/>
  <c r="D10" i="1"/>
  <c r="G9" i="1"/>
  <c r="F9" i="1"/>
  <c r="E9" i="1"/>
  <c r="D9" i="1"/>
  <c r="G8" i="1"/>
  <c r="F8" i="1"/>
  <c r="E8" i="1"/>
  <c r="D8" i="1"/>
  <c r="G7" i="1"/>
  <c r="F7" i="1"/>
  <c r="E7" i="1"/>
  <c r="D7" i="1"/>
  <c r="G6" i="1"/>
  <c r="F6" i="1"/>
  <c r="E6" i="1"/>
  <c r="D6" i="1"/>
  <c r="G5" i="1"/>
  <c r="F5" i="1"/>
  <c r="E5" i="1"/>
  <c r="D5" i="1"/>
  <c r="G4" i="1"/>
  <c r="F4" i="1"/>
  <c r="E4" i="1"/>
  <c r="D4" i="1"/>
  <c r="G3" i="1"/>
  <c r="F3" i="1"/>
  <c r="E3" i="1"/>
  <c r="D3" i="1"/>
  <c r="G2" i="1"/>
  <c r="F2" i="1"/>
  <c r="E2" i="1"/>
  <c r="D2" i="1"/>
</calcChain>
</file>

<file path=xl/sharedStrings.xml><?xml version="1.0" encoding="utf-8"?>
<sst xmlns="http://schemas.openxmlformats.org/spreadsheetml/2006/main" count="451" uniqueCount="36">
  <si>
    <t>aircraft_model</t>
  </si>
  <si>
    <t xml:space="preserve"> standard_crew_size</t>
  </si>
  <si>
    <t xml:space="preserve"> max_pax_capacity</t>
  </si>
  <si>
    <t xml:space="preserve"> cruise_speed_kmh</t>
    <phoneticPr fontId="1" type="noConversion"/>
  </si>
  <si>
    <t>route</t>
  </si>
  <si>
    <t>airline</t>
  </si>
  <si>
    <t xml:space="preserve"> fuel_burn_gal_per_hr</t>
    <phoneticPr fontId="1" type="noConversion"/>
  </si>
  <si>
    <t>SIN-DXB</t>
  </si>
  <si>
    <t>Emirates</t>
  </si>
  <si>
    <t>Airbus A380-800 (quad-jet)</t>
  </si>
  <si>
    <t>BOEING 777-300ER (twin-jet)</t>
  </si>
  <si>
    <t>Singapore Airlines</t>
  </si>
  <si>
    <t>BOEING 787-10 Dreamliner (twin-jet)</t>
  </si>
  <si>
    <t>Airbus A350-900 (twin-jet)</t>
  </si>
  <si>
    <t>Air India</t>
  </si>
  <si>
    <t>Airbus A321 (twin-jet)</t>
  </si>
  <si>
    <t>Qatar Airways</t>
  </si>
  <si>
    <t>Thai Airways</t>
  </si>
  <si>
    <t>Boeing 737 MAX 8 (twin-jet)</t>
  </si>
  <si>
    <t>Airbus A320 (twin-jet)</t>
  </si>
  <si>
    <t>LHR-DXB</t>
  </si>
  <si>
    <t>BKK-DXB</t>
  </si>
  <si>
    <t>HKG-DXB</t>
  </si>
  <si>
    <t>Boeing 777-200 (twin-jet)</t>
  </si>
  <si>
    <t>Cathay Pacific</t>
  </si>
  <si>
    <t>Airbus A330-300 (twin-jet)</t>
  </si>
  <si>
    <t>Boeing 747-400 (quad-jet)</t>
  </si>
  <si>
    <t>DOH-SIN</t>
  </si>
  <si>
    <t>Airbus A321neo (twin-jet)</t>
  </si>
  <si>
    <t>SIN-LHR</t>
  </si>
  <si>
    <t>British Airways</t>
  </si>
  <si>
    <t>Boeing 787-9 Dreamliner (twin-jet)</t>
  </si>
  <si>
    <t>BOM-DXB</t>
  </si>
  <si>
    <t>Boeing 787-8 (twin-jet)</t>
  </si>
  <si>
    <t>MEL-DXB</t>
  </si>
  <si>
    <t>Airbus A350-1000 (twin-jet)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</si>
</sst>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NTU%20BA\T3\project\flightaware_final_data.xlsx" TargetMode="External"/><Relationship Id="rId1" Type="http://schemas.openxmlformats.org/officeDocument/2006/relationships/externalLinkPath" Target="flightaware_fina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flightaware_final_data"/>
      <sheetName val="机型"/>
    </sheetNames>
    <sheetDataSet>
      <sheetData sheetId="0"/>
      <sheetData sheetId="1"/>
      <sheetData sheetId="2">
        <row r="1">
          <cell r="A1" t="str">
            <v>aircraft_model</v>
          </cell>
          <cell r="B1" t="str">
            <v xml:space="preserve"> cruise_speed_kmh</v>
          </cell>
          <cell r="C1" t="str">
            <v xml:space="preserve"> fuel_burn_gal_per_hr</v>
          </cell>
          <cell r="D1" t="str">
            <v xml:space="preserve"> standard_crew_size</v>
          </cell>
          <cell r="E1" t="str">
            <v xml:space="preserve"> max_pax_capacity</v>
          </cell>
        </row>
        <row r="2">
          <cell r="A2" t="str">
            <v>Airbus A320 (twin-jet)</v>
          </cell>
          <cell r="B2">
            <v>840</v>
          </cell>
          <cell r="C2">
            <v>826</v>
          </cell>
          <cell r="D2">
            <v>7</v>
          </cell>
          <cell r="E2">
            <v>150</v>
          </cell>
        </row>
        <row r="3">
          <cell r="A3" t="str">
            <v>Airbus A321 (twin-jet)</v>
          </cell>
          <cell r="B3">
            <v>828</v>
          </cell>
          <cell r="C3">
            <v>950</v>
          </cell>
          <cell r="D3">
            <v>8</v>
          </cell>
          <cell r="E3">
            <v>186</v>
          </cell>
        </row>
        <row r="4">
          <cell r="A4" t="str">
            <v>Airbus A321neo (twin-jet)</v>
          </cell>
          <cell r="B4">
            <v>828</v>
          </cell>
          <cell r="C4">
            <v>650</v>
          </cell>
          <cell r="D4">
            <v>8</v>
          </cell>
          <cell r="E4">
            <v>186</v>
          </cell>
        </row>
        <row r="5">
          <cell r="A5" t="str">
            <v>Airbus A330-300 (twin-jet)</v>
          </cell>
          <cell r="B5">
            <v>860</v>
          </cell>
          <cell r="C5">
            <v>1850</v>
          </cell>
          <cell r="D5">
            <v>11</v>
          </cell>
          <cell r="E5">
            <v>335</v>
          </cell>
        </row>
        <row r="6">
          <cell r="A6" t="str">
            <v>Airbus A350-1000 (twin-jet)</v>
          </cell>
          <cell r="B6">
            <v>901.92400000000009</v>
          </cell>
          <cell r="C6">
            <v>1850</v>
          </cell>
          <cell r="D6">
            <v>11</v>
          </cell>
          <cell r="E6">
            <v>350</v>
          </cell>
        </row>
        <row r="7">
          <cell r="A7" t="str">
            <v>Airbus A350-900 (twin-jet)</v>
          </cell>
          <cell r="B7">
            <v>901.92400000000009</v>
          </cell>
          <cell r="C7">
            <v>1900</v>
          </cell>
          <cell r="D7">
            <v>11</v>
          </cell>
          <cell r="E7">
            <v>314</v>
          </cell>
        </row>
        <row r="8">
          <cell r="A8" t="str">
            <v>Airbus A380-800 (quad-jet)</v>
          </cell>
          <cell r="B8">
            <v>963.04000000000008</v>
          </cell>
          <cell r="C8">
            <v>3900</v>
          </cell>
          <cell r="D8">
            <v>16</v>
          </cell>
          <cell r="E8">
            <v>555</v>
          </cell>
        </row>
        <row r="9">
          <cell r="A9" t="str">
            <v>Boeing 737 MAX 8 (twin-jet)</v>
          </cell>
          <cell r="B9">
            <v>969.31799999999998</v>
          </cell>
          <cell r="C9">
            <v>720</v>
          </cell>
          <cell r="D9">
            <v>8</v>
          </cell>
          <cell r="E9">
            <v>170</v>
          </cell>
        </row>
        <row r="10">
          <cell r="A10" t="str">
            <v>Boeing 747-400 (quad-jet)</v>
          </cell>
          <cell r="B10">
            <v>907</v>
          </cell>
          <cell r="C10">
            <v>3400</v>
          </cell>
          <cell r="D10">
            <v>13</v>
          </cell>
          <cell r="E10">
            <v>416</v>
          </cell>
        </row>
        <row r="11">
          <cell r="A11" t="str">
            <v>Boeing 777-200 (twin-jet)</v>
          </cell>
          <cell r="B11">
            <v>905</v>
          </cell>
          <cell r="C11">
            <v>2450</v>
          </cell>
          <cell r="D11">
            <v>11</v>
          </cell>
          <cell r="E11">
            <v>305</v>
          </cell>
        </row>
        <row r="12">
          <cell r="A12" t="str">
            <v>BOEING 777-300ER (twin-jet)</v>
          </cell>
          <cell r="B12">
            <v>893</v>
          </cell>
          <cell r="C12">
            <v>2400</v>
          </cell>
          <cell r="D12">
            <v>12</v>
          </cell>
          <cell r="E12">
            <v>390</v>
          </cell>
        </row>
        <row r="13">
          <cell r="A13" t="str">
            <v>BOEING 787-10 Dreamliner (twin-jet)</v>
          </cell>
          <cell r="B13">
            <v>913</v>
          </cell>
          <cell r="C13">
            <v>1750</v>
          </cell>
          <cell r="D13">
            <v>9</v>
          </cell>
          <cell r="E13">
            <v>230</v>
          </cell>
        </row>
        <row r="14">
          <cell r="A14" t="str">
            <v>Boeing 787-8 (twin-jet)</v>
          </cell>
          <cell r="B14">
            <v>913</v>
          </cell>
          <cell r="C14">
            <v>1750</v>
          </cell>
          <cell r="D14">
            <v>9</v>
          </cell>
          <cell r="E14">
            <v>230</v>
          </cell>
        </row>
        <row r="15">
          <cell r="A15" t="str">
            <v>Boeing 787-9 Dreamliner (twin-jet)</v>
          </cell>
          <cell r="B15">
            <v>907.48</v>
          </cell>
          <cell r="C15">
            <v>1750</v>
          </cell>
          <cell r="D15">
            <v>9</v>
          </cell>
          <cell r="E15">
            <v>230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FF47-977F-4003-9B58-C14E6DED371B}">
  <dimension ref="A1:G149"/>
  <sheetViews>
    <sheetView tabSelected="1" workbookViewId="0">
      <selection sqref="A1:XFD1048576"/>
    </sheetView>
  </sheetViews>
  <sheetFormatPr defaultRowHeight="13.8" x14ac:dyDescent="0.25"/>
  <cols>
    <col min="2" max="2" width="17.44140625" bestFit="1" customWidth="1"/>
    <col min="3" max="3" width="35.5546875" bestFit="1" customWidth="1"/>
    <col min="4" max="4" width="19.33203125" bestFit="1" customWidth="1"/>
    <col min="5" max="5" width="22.109375" bestFit="1" customWidth="1"/>
    <col min="6" max="6" width="20.44140625" bestFit="1" customWidth="1"/>
    <col min="7" max="7" width="18.77734375" bestFit="1" customWidth="1"/>
  </cols>
  <sheetData>
    <row r="1" spans="1:7" s="1" customFormat="1" ht="14.4" thickBot="1" x14ac:dyDescent="0.3">
      <c r="A1" s="1" t="s">
        <v>4</v>
      </c>
      <c r="B1" s="1" t="s">
        <v>5</v>
      </c>
      <c r="C1" s="1" t="s">
        <v>0</v>
      </c>
      <c r="D1" s="2" t="s">
        <v>3</v>
      </c>
      <c r="E1" s="1" t="s">
        <v>6</v>
      </c>
      <c r="F1" s="1" t="s">
        <v>1</v>
      </c>
      <c r="G1" s="1" t="s">
        <v>2</v>
      </c>
    </row>
    <row r="2" spans="1:7" s="4" customFormat="1" x14ac:dyDescent="0.25">
      <c r="A2" s="3" t="s">
        <v>7</v>
      </c>
      <c r="B2" s="4" t="s">
        <v>8</v>
      </c>
      <c r="C2" s="4" t="s">
        <v>9</v>
      </c>
      <c r="D2">
        <f>VLOOKUP(C2,[1]机型!A:E,2,0)</f>
        <v>963.04000000000008</v>
      </c>
      <c r="E2">
        <f>VLOOKUP(C2,[1]机型!A:E,3,0)</f>
        <v>3900</v>
      </c>
      <c r="F2">
        <f>VLOOKUP(C2,[1]机型!A:E,4,0)</f>
        <v>16</v>
      </c>
      <c r="G2">
        <f>VLOOKUP(C2,[1]机型!A:E,5,0)</f>
        <v>555</v>
      </c>
    </row>
    <row r="3" spans="1:7" x14ac:dyDescent="0.25">
      <c r="A3" s="5" t="s">
        <v>7</v>
      </c>
      <c r="B3" t="s">
        <v>8</v>
      </c>
      <c r="C3" t="s">
        <v>10</v>
      </c>
      <c r="D3">
        <f>VLOOKUP(C3,[1]机型!A:E,2,0)</f>
        <v>893</v>
      </c>
      <c r="E3">
        <f>VLOOKUP(C3,[1]机型!A:E,3,0)</f>
        <v>2400</v>
      </c>
      <c r="F3">
        <f>VLOOKUP(C3,[1]机型!A:E,4,0)</f>
        <v>12</v>
      </c>
      <c r="G3">
        <f>VLOOKUP(C3,[1]机型!A:E,5,0)</f>
        <v>390</v>
      </c>
    </row>
    <row r="4" spans="1:7" x14ac:dyDescent="0.25">
      <c r="A4" s="5" t="s">
        <v>7</v>
      </c>
      <c r="B4" t="s">
        <v>8</v>
      </c>
      <c r="C4" t="s">
        <v>9</v>
      </c>
      <c r="D4">
        <f>VLOOKUP(C4,[1]机型!A:E,2,0)</f>
        <v>963.04000000000008</v>
      </c>
      <c r="E4">
        <f>VLOOKUP(C4,[1]机型!A:E,3,0)</f>
        <v>3900</v>
      </c>
      <c r="F4">
        <f>VLOOKUP(C4,[1]机型!A:E,4,0)</f>
        <v>16</v>
      </c>
      <c r="G4">
        <f>VLOOKUP(C4,[1]机型!A:E,5,0)</f>
        <v>555</v>
      </c>
    </row>
    <row r="5" spans="1:7" x14ac:dyDescent="0.25">
      <c r="A5" s="5" t="s">
        <v>7</v>
      </c>
      <c r="B5" t="s">
        <v>8</v>
      </c>
      <c r="C5" t="s">
        <v>10</v>
      </c>
      <c r="D5">
        <f>VLOOKUP(C5,[1]机型!A:E,2,0)</f>
        <v>893</v>
      </c>
      <c r="E5">
        <f>VLOOKUP(C5,[1]机型!A:E,3,0)</f>
        <v>2400</v>
      </c>
      <c r="F5">
        <f>VLOOKUP(C5,[1]机型!A:E,4,0)</f>
        <v>12</v>
      </c>
      <c r="G5">
        <f>VLOOKUP(C5,[1]机型!A:E,5,0)</f>
        <v>390</v>
      </c>
    </row>
    <row r="6" spans="1:7" x14ac:dyDescent="0.25">
      <c r="A6" s="5" t="s">
        <v>7</v>
      </c>
      <c r="B6" t="s">
        <v>8</v>
      </c>
      <c r="C6" t="s">
        <v>9</v>
      </c>
      <c r="D6">
        <f>VLOOKUP(C6,[1]机型!A:E,2,0)</f>
        <v>963.04000000000008</v>
      </c>
      <c r="E6">
        <f>VLOOKUP(C6,[1]机型!A:E,3,0)</f>
        <v>3900</v>
      </c>
      <c r="F6">
        <f>VLOOKUP(C6,[1]机型!A:E,4,0)</f>
        <v>16</v>
      </c>
      <c r="G6">
        <f>VLOOKUP(C6,[1]机型!A:E,5,0)</f>
        <v>555</v>
      </c>
    </row>
    <row r="7" spans="1:7" x14ac:dyDescent="0.25">
      <c r="A7" s="5" t="s">
        <v>7</v>
      </c>
      <c r="B7" t="s">
        <v>8</v>
      </c>
      <c r="C7" t="s">
        <v>10</v>
      </c>
      <c r="D7">
        <f>VLOOKUP(C7,[1]机型!A:E,2,0)</f>
        <v>893</v>
      </c>
      <c r="E7">
        <f>VLOOKUP(C7,[1]机型!A:E,3,0)</f>
        <v>2400</v>
      </c>
      <c r="F7">
        <f>VLOOKUP(C7,[1]机型!A:E,4,0)</f>
        <v>12</v>
      </c>
      <c r="G7">
        <f>VLOOKUP(C7,[1]机型!A:E,5,0)</f>
        <v>390</v>
      </c>
    </row>
    <row r="8" spans="1:7" x14ac:dyDescent="0.25">
      <c r="A8" s="5" t="s">
        <v>7</v>
      </c>
      <c r="B8" t="s">
        <v>11</v>
      </c>
      <c r="C8" t="s">
        <v>12</v>
      </c>
      <c r="D8">
        <f>VLOOKUP(C8,[1]机型!A:E,2,0)</f>
        <v>913</v>
      </c>
      <c r="E8">
        <f>VLOOKUP(C8,[1]机型!A:E,3,0)</f>
        <v>1750</v>
      </c>
      <c r="F8">
        <f>VLOOKUP(C8,[1]机型!A:E,4,0)</f>
        <v>9</v>
      </c>
      <c r="G8">
        <f>VLOOKUP(C8,[1]机型!A:E,5,0)</f>
        <v>230</v>
      </c>
    </row>
    <row r="9" spans="1:7" x14ac:dyDescent="0.25">
      <c r="A9" s="5" t="s">
        <v>7</v>
      </c>
      <c r="B9" t="s">
        <v>8</v>
      </c>
      <c r="C9" t="s">
        <v>9</v>
      </c>
      <c r="D9">
        <f>VLOOKUP(C9,[1]机型!A:E,2,0)</f>
        <v>963.04000000000008</v>
      </c>
      <c r="E9">
        <f>VLOOKUP(C9,[1]机型!A:E,3,0)</f>
        <v>3900</v>
      </c>
      <c r="F9">
        <f>VLOOKUP(C9,[1]机型!A:E,4,0)</f>
        <v>16</v>
      </c>
      <c r="G9">
        <f>VLOOKUP(C9,[1]机型!A:E,5,0)</f>
        <v>555</v>
      </c>
    </row>
    <row r="10" spans="1:7" x14ac:dyDescent="0.25">
      <c r="A10" s="5" t="s">
        <v>7</v>
      </c>
      <c r="B10" t="s">
        <v>8</v>
      </c>
      <c r="C10" t="s">
        <v>10</v>
      </c>
      <c r="D10">
        <f>VLOOKUP(C10,[1]机型!A:E,2,0)</f>
        <v>893</v>
      </c>
      <c r="E10">
        <f>VLOOKUP(C10,[1]机型!A:E,3,0)</f>
        <v>2400</v>
      </c>
      <c r="F10">
        <f>VLOOKUP(C10,[1]机型!A:E,4,0)</f>
        <v>12</v>
      </c>
      <c r="G10">
        <f>VLOOKUP(C10,[1]机型!A:E,5,0)</f>
        <v>390</v>
      </c>
    </row>
    <row r="11" spans="1:7" x14ac:dyDescent="0.25">
      <c r="A11" s="5" t="s">
        <v>7</v>
      </c>
      <c r="B11" t="s">
        <v>11</v>
      </c>
      <c r="C11" t="s">
        <v>13</v>
      </c>
      <c r="D11">
        <f>VLOOKUP(C11,[1]机型!A:E,2,0)</f>
        <v>901.92400000000009</v>
      </c>
      <c r="E11">
        <f>VLOOKUP(C11,[1]机型!A:E,3,0)</f>
        <v>1900</v>
      </c>
      <c r="F11">
        <f>VLOOKUP(C11,[1]机型!A:E,4,0)</f>
        <v>11</v>
      </c>
      <c r="G11">
        <f>VLOOKUP(C11,[1]机型!A:E,5,0)</f>
        <v>314</v>
      </c>
    </row>
    <row r="12" spans="1:7" x14ac:dyDescent="0.25">
      <c r="A12" s="5" t="s">
        <v>7</v>
      </c>
      <c r="B12" t="s">
        <v>14</v>
      </c>
      <c r="C12" t="s">
        <v>15</v>
      </c>
      <c r="D12">
        <f>VLOOKUP(C12,[1]机型!A:E,2,0)</f>
        <v>828</v>
      </c>
      <c r="E12">
        <f>VLOOKUP(C12,[1]机型!A:E,3,0)</f>
        <v>950</v>
      </c>
      <c r="F12">
        <f>VLOOKUP(C12,[1]机型!A:E,4,0)</f>
        <v>8</v>
      </c>
      <c r="G12">
        <f>VLOOKUP(C12,[1]机型!A:E,5,0)</f>
        <v>186</v>
      </c>
    </row>
    <row r="13" spans="1:7" x14ac:dyDescent="0.25">
      <c r="A13" s="5" t="s">
        <v>7</v>
      </c>
      <c r="B13" t="s">
        <v>14</v>
      </c>
      <c r="C13" t="s">
        <v>15</v>
      </c>
      <c r="D13">
        <f>VLOOKUP(C13,[1]机型!A:E,2,0)</f>
        <v>828</v>
      </c>
      <c r="E13">
        <f>VLOOKUP(C13,[1]机型!A:E,3,0)</f>
        <v>950</v>
      </c>
      <c r="F13">
        <f>VLOOKUP(C13,[1]机型!A:E,4,0)</f>
        <v>8</v>
      </c>
      <c r="G13">
        <f>VLOOKUP(C13,[1]机型!A:E,5,0)</f>
        <v>186</v>
      </c>
    </row>
    <row r="14" spans="1:7" x14ac:dyDescent="0.25">
      <c r="A14" s="5" t="s">
        <v>7</v>
      </c>
      <c r="B14" t="s">
        <v>11</v>
      </c>
      <c r="C14" t="s">
        <v>13</v>
      </c>
      <c r="D14">
        <f>VLOOKUP(C14,[1]机型!A:E,2,0)</f>
        <v>901.92400000000009</v>
      </c>
      <c r="E14">
        <f>VLOOKUP(C14,[1]机型!A:E,3,0)</f>
        <v>1900</v>
      </c>
      <c r="F14">
        <f>VLOOKUP(C14,[1]机型!A:E,4,0)</f>
        <v>11</v>
      </c>
      <c r="G14">
        <f>VLOOKUP(C14,[1]机型!A:E,5,0)</f>
        <v>314</v>
      </c>
    </row>
    <row r="15" spans="1:7" x14ac:dyDescent="0.25">
      <c r="A15" s="5" t="s">
        <v>7</v>
      </c>
      <c r="B15" t="s">
        <v>8</v>
      </c>
      <c r="C15" t="s">
        <v>9</v>
      </c>
      <c r="D15">
        <f>VLOOKUP(C15,[1]机型!A:E,2,0)</f>
        <v>963.04000000000008</v>
      </c>
      <c r="E15">
        <f>VLOOKUP(C15,[1]机型!A:E,3,0)</f>
        <v>3900</v>
      </c>
      <c r="F15">
        <f>VLOOKUP(C15,[1]机型!A:E,4,0)</f>
        <v>16</v>
      </c>
      <c r="G15">
        <f>VLOOKUP(C15,[1]机型!A:E,5,0)</f>
        <v>555</v>
      </c>
    </row>
    <row r="16" spans="1:7" x14ac:dyDescent="0.25">
      <c r="A16" s="5" t="s">
        <v>7</v>
      </c>
      <c r="B16" t="s">
        <v>16</v>
      </c>
      <c r="C16" t="s">
        <v>13</v>
      </c>
      <c r="D16">
        <f>VLOOKUP(C16,[1]机型!A:E,2,0)</f>
        <v>901.92400000000009</v>
      </c>
      <c r="E16">
        <f>VLOOKUP(C16,[1]机型!A:E,3,0)</f>
        <v>1900</v>
      </c>
      <c r="F16">
        <f>VLOOKUP(C16,[1]机型!A:E,4,0)</f>
        <v>11</v>
      </c>
      <c r="G16">
        <f>VLOOKUP(C16,[1]机型!A:E,5,0)</f>
        <v>314</v>
      </c>
    </row>
    <row r="17" spans="1:7" x14ac:dyDescent="0.25">
      <c r="A17" s="5" t="s">
        <v>7</v>
      </c>
      <c r="B17" t="s">
        <v>8</v>
      </c>
      <c r="C17" t="s">
        <v>10</v>
      </c>
      <c r="D17">
        <f>VLOOKUP(C17,[1]机型!A:E,2,0)</f>
        <v>893</v>
      </c>
      <c r="E17">
        <f>VLOOKUP(C17,[1]机型!A:E,3,0)</f>
        <v>2400</v>
      </c>
      <c r="F17">
        <f>VLOOKUP(C17,[1]机型!A:E,4,0)</f>
        <v>12</v>
      </c>
      <c r="G17">
        <f>VLOOKUP(C17,[1]机型!A:E,5,0)</f>
        <v>390</v>
      </c>
    </row>
    <row r="18" spans="1:7" x14ac:dyDescent="0.25">
      <c r="A18" s="5" t="s">
        <v>7</v>
      </c>
      <c r="B18" t="s">
        <v>8</v>
      </c>
      <c r="C18" t="s">
        <v>9</v>
      </c>
      <c r="D18">
        <f>VLOOKUP(C18,[1]机型!A:E,2,0)</f>
        <v>963.04000000000008</v>
      </c>
      <c r="E18">
        <f>VLOOKUP(C18,[1]机型!A:E,3,0)</f>
        <v>3900</v>
      </c>
      <c r="F18">
        <f>VLOOKUP(C18,[1]机型!A:E,4,0)</f>
        <v>16</v>
      </c>
      <c r="G18">
        <f>VLOOKUP(C18,[1]机型!A:E,5,0)</f>
        <v>555</v>
      </c>
    </row>
    <row r="19" spans="1:7" x14ac:dyDescent="0.25">
      <c r="A19" s="5" t="s">
        <v>7</v>
      </c>
      <c r="B19" t="s">
        <v>17</v>
      </c>
      <c r="C19" t="s">
        <v>13</v>
      </c>
      <c r="D19">
        <f>VLOOKUP(C19,[1]机型!A:E,2,0)</f>
        <v>901.92400000000009</v>
      </c>
      <c r="E19">
        <f>VLOOKUP(C19,[1]机型!A:E,3,0)</f>
        <v>1900</v>
      </c>
      <c r="F19">
        <f>VLOOKUP(C19,[1]机型!A:E,4,0)</f>
        <v>11</v>
      </c>
      <c r="G19">
        <f>VLOOKUP(C19,[1]机型!A:E,5,0)</f>
        <v>314</v>
      </c>
    </row>
    <row r="20" spans="1:7" x14ac:dyDescent="0.25">
      <c r="A20" s="5" t="s">
        <v>7</v>
      </c>
      <c r="B20" t="s">
        <v>8</v>
      </c>
      <c r="C20" t="s">
        <v>9</v>
      </c>
      <c r="D20">
        <f>VLOOKUP(C20,[1]机型!A:E,2,0)</f>
        <v>963.04000000000008</v>
      </c>
      <c r="E20">
        <f>VLOOKUP(C20,[1]机型!A:E,3,0)</f>
        <v>3900</v>
      </c>
      <c r="F20">
        <f>VLOOKUP(C20,[1]机型!A:E,4,0)</f>
        <v>16</v>
      </c>
      <c r="G20">
        <f>VLOOKUP(C20,[1]机型!A:E,5,0)</f>
        <v>555</v>
      </c>
    </row>
    <row r="21" spans="1:7" x14ac:dyDescent="0.25">
      <c r="A21" s="5" t="s">
        <v>7</v>
      </c>
      <c r="B21" t="s">
        <v>11</v>
      </c>
      <c r="C21" t="s">
        <v>13</v>
      </c>
      <c r="D21">
        <f>VLOOKUP(C21,[1]机型!A:E,2,0)</f>
        <v>901.92400000000009</v>
      </c>
      <c r="E21">
        <f>VLOOKUP(C21,[1]机型!A:E,3,0)</f>
        <v>1900</v>
      </c>
      <c r="F21">
        <f>VLOOKUP(C21,[1]机型!A:E,4,0)</f>
        <v>11</v>
      </c>
      <c r="G21">
        <f>VLOOKUP(C21,[1]机型!A:E,5,0)</f>
        <v>314</v>
      </c>
    </row>
    <row r="22" spans="1:7" x14ac:dyDescent="0.25">
      <c r="A22" s="5" t="s">
        <v>7</v>
      </c>
      <c r="B22" t="s">
        <v>8</v>
      </c>
      <c r="C22" t="s">
        <v>9</v>
      </c>
      <c r="D22">
        <f>VLOOKUP(C22,[1]机型!A:E,2,0)</f>
        <v>963.04000000000008</v>
      </c>
      <c r="E22">
        <f>VLOOKUP(C22,[1]机型!A:E,3,0)</f>
        <v>3900</v>
      </c>
      <c r="F22">
        <f>VLOOKUP(C22,[1]机型!A:E,4,0)</f>
        <v>16</v>
      </c>
      <c r="G22">
        <f>VLOOKUP(C22,[1]机型!A:E,5,0)</f>
        <v>555</v>
      </c>
    </row>
    <row r="23" spans="1:7" x14ac:dyDescent="0.25">
      <c r="A23" s="5" t="s">
        <v>7</v>
      </c>
      <c r="B23" t="s">
        <v>8</v>
      </c>
      <c r="C23" t="s">
        <v>10</v>
      </c>
      <c r="D23">
        <f>VLOOKUP(C23,[1]机型!A:E,2,0)</f>
        <v>893</v>
      </c>
      <c r="E23">
        <f>VLOOKUP(C23,[1]机型!A:E,3,0)</f>
        <v>2400</v>
      </c>
      <c r="F23">
        <f>VLOOKUP(C23,[1]机型!A:E,4,0)</f>
        <v>12</v>
      </c>
      <c r="G23">
        <f>VLOOKUP(C23,[1]机型!A:E,5,0)</f>
        <v>390</v>
      </c>
    </row>
    <row r="24" spans="1:7" x14ac:dyDescent="0.25">
      <c r="A24" s="5" t="s">
        <v>7</v>
      </c>
      <c r="B24" t="s">
        <v>11</v>
      </c>
      <c r="C24" t="s">
        <v>12</v>
      </c>
      <c r="D24">
        <f>VLOOKUP(C24,[1]机型!A:E,2,0)</f>
        <v>913</v>
      </c>
      <c r="E24">
        <f>VLOOKUP(C24,[1]机型!A:E,3,0)</f>
        <v>1750</v>
      </c>
      <c r="F24">
        <f>VLOOKUP(C24,[1]机型!A:E,4,0)</f>
        <v>9</v>
      </c>
      <c r="G24">
        <f>VLOOKUP(C24,[1]机型!A:E,5,0)</f>
        <v>230</v>
      </c>
    </row>
    <row r="25" spans="1:7" x14ac:dyDescent="0.25">
      <c r="A25" s="5" t="s">
        <v>7</v>
      </c>
      <c r="B25" t="s">
        <v>8</v>
      </c>
      <c r="C25" t="s">
        <v>9</v>
      </c>
      <c r="D25">
        <f>VLOOKUP(C25,[1]机型!A:E,2,0)</f>
        <v>963.04000000000008</v>
      </c>
      <c r="E25">
        <f>VLOOKUP(C25,[1]机型!A:E,3,0)</f>
        <v>3900</v>
      </c>
      <c r="F25">
        <f>VLOOKUP(C25,[1]机型!A:E,4,0)</f>
        <v>16</v>
      </c>
      <c r="G25">
        <f>VLOOKUP(C25,[1]机型!A:E,5,0)</f>
        <v>555</v>
      </c>
    </row>
    <row r="26" spans="1:7" x14ac:dyDescent="0.25">
      <c r="A26" s="5" t="s">
        <v>7</v>
      </c>
      <c r="B26" t="s">
        <v>11</v>
      </c>
      <c r="C26" t="s">
        <v>18</v>
      </c>
      <c r="D26">
        <f>VLOOKUP(C26,[1]机型!A:E,2,0)</f>
        <v>969.31799999999998</v>
      </c>
      <c r="E26">
        <f>VLOOKUP(C26,[1]机型!A:E,3,0)</f>
        <v>720</v>
      </c>
      <c r="F26">
        <f>VLOOKUP(C26,[1]机型!A:E,4,0)</f>
        <v>8</v>
      </c>
      <c r="G26">
        <f>VLOOKUP(C26,[1]机型!A:E,5,0)</f>
        <v>170</v>
      </c>
    </row>
    <row r="27" spans="1:7" x14ac:dyDescent="0.25">
      <c r="A27" s="5" t="s">
        <v>7</v>
      </c>
      <c r="B27" t="s">
        <v>8</v>
      </c>
      <c r="C27" t="s">
        <v>10</v>
      </c>
      <c r="D27">
        <f>VLOOKUP(C27,[1]机型!A:E,2,0)</f>
        <v>893</v>
      </c>
      <c r="E27">
        <f>VLOOKUP(C27,[1]机型!A:E,3,0)</f>
        <v>2400</v>
      </c>
      <c r="F27">
        <f>VLOOKUP(C27,[1]机型!A:E,4,0)</f>
        <v>12</v>
      </c>
      <c r="G27">
        <f>VLOOKUP(C27,[1]机型!A:E,5,0)</f>
        <v>390</v>
      </c>
    </row>
    <row r="28" spans="1:7" x14ac:dyDescent="0.25">
      <c r="A28" s="5" t="s">
        <v>7</v>
      </c>
      <c r="B28" t="s">
        <v>17</v>
      </c>
      <c r="C28" t="s">
        <v>19</v>
      </c>
      <c r="D28">
        <f>VLOOKUP(C28,[1]机型!A:E,2,0)</f>
        <v>840</v>
      </c>
      <c r="E28">
        <f>VLOOKUP(C28,[1]机型!A:E,3,0)</f>
        <v>826</v>
      </c>
      <c r="F28">
        <f>VLOOKUP(C28,[1]机型!A:E,4,0)</f>
        <v>7</v>
      </c>
      <c r="G28">
        <f>VLOOKUP(C28,[1]机型!A:E,5,0)</f>
        <v>150</v>
      </c>
    </row>
    <row r="29" spans="1:7" x14ac:dyDescent="0.25">
      <c r="A29" s="5" t="s">
        <v>7</v>
      </c>
      <c r="B29" t="s">
        <v>8</v>
      </c>
      <c r="C29" t="s">
        <v>9</v>
      </c>
      <c r="D29">
        <f>VLOOKUP(C29,[1]机型!A:E,2,0)</f>
        <v>963.04000000000008</v>
      </c>
      <c r="E29">
        <f>VLOOKUP(C29,[1]机型!A:E,3,0)</f>
        <v>3900</v>
      </c>
      <c r="F29">
        <f>VLOOKUP(C29,[1]机型!A:E,4,0)</f>
        <v>16</v>
      </c>
      <c r="G29">
        <f>VLOOKUP(C29,[1]机型!A:E,5,0)</f>
        <v>555</v>
      </c>
    </row>
    <row r="30" spans="1:7" x14ac:dyDescent="0.25">
      <c r="A30" s="5" t="s">
        <v>7</v>
      </c>
      <c r="B30" t="s">
        <v>11</v>
      </c>
      <c r="C30" t="s">
        <v>12</v>
      </c>
      <c r="D30">
        <f>VLOOKUP(C30,[1]机型!A:E,2,0)</f>
        <v>913</v>
      </c>
      <c r="E30">
        <f>VLOOKUP(C30,[1]机型!A:E,3,0)</f>
        <v>1750</v>
      </c>
      <c r="F30">
        <f>VLOOKUP(C30,[1]机型!A:E,4,0)</f>
        <v>9</v>
      </c>
      <c r="G30">
        <f>VLOOKUP(C30,[1]机型!A:E,5,0)</f>
        <v>230</v>
      </c>
    </row>
    <row r="31" spans="1:7" x14ac:dyDescent="0.25">
      <c r="A31" s="5" t="s">
        <v>7</v>
      </c>
      <c r="B31" t="s">
        <v>11</v>
      </c>
      <c r="C31" t="s">
        <v>18</v>
      </c>
      <c r="D31">
        <f>VLOOKUP(C31,[1]机型!A:E,2,0)</f>
        <v>969.31799999999998</v>
      </c>
      <c r="E31">
        <f>VLOOKUP(C31,[1]机型!A:E,3,0)</f>
        <v>720</v>
      </c>
      <c r="F31">
        <f>VLOOKUP(C31,[1]机型!A:E,4,0)</f>
        <v>8</v>
      </c>
      <c r="G31">
        <f>VLOOKUP(C31,[1]机型!A:E,5,0)</f>
        <v>170</v>
      </c>
    </row>
    <row r="32" spans="1:7" s="7" customFormat="1" ht="14.4" thickBot="1" x14ac:dyDescent="0.3">
      <c r="A32" s="6" t="s">
        <v>7</v>
      </c>
      <c r="B32" s="7" t="s">
        <v>17</v>
      </c>
      <c r="C32" s="7" t="s">
        <v>19</v>
      </c>
      <c r="D32">
        <f>VLOOKUP(C32,[1]机型!A:E,2,0)</f>
        <v>840</v>
      </c>
      <c r="E32">
        <f>VLOOKUP(C32,[1]机型!A:E,3,0)</f>
        <v>826</v>
      </c>
      <c r="F32">
        <f>VLOOKUP(C32,[1]机型!A:E,4,0)</f>
        <v>7</v>
      </c>
      <c r="G32">
        <f>VLOOKUP(C32,[1]机型!A:E,5,0)</f>
        <v>150</v>
      </c>
    </row>
    <row r="33" spans="1:7" s="4" customFormat="1" x14ac:dyDescent="0.25">
      <c r="A33" s="3" t="s">
        <v>20</v>
      </c>
      <c r="B33" s="4" t="s">
        <v>8</v>
      </c>
      <c r="C33" s="4" t="s">
        <v>9</v>
      </c>
      <c r="D33">
        <f>VLOOKUP(C33,[1]机型!A:E,2,0)</f>
        <v>963.04000000000008</v>
      </c>
      <c r="E33">
        <f>VLOOKUP(C33,[1]机型!A:E,3,0)</f>
        <v>3900</v>
      </c>
      <c r="F33">
        <f>VLOOKUP(C33,[1]机型!A:E,4,0)</f>
        <v>16</v>
      </c>
      <c r="G33">
        <f>VLOOKUP(C33,[1]机型!A:E,5,0)</f>
        <v>555</v>
      </c>
    </row>
    <row r="34" spans="1:7" x14ac:dyDescent="0.25">
      <c r="A34" s="5" t="s">
        <v>20</v>
      </c>
      <c r="B34" t="s">
        <v>8</v>
      </c>
      <c r="C34" t="s">
        <v>9</v>
      </c>
      <c r="D34">
        <f>VLOOKUP(C34,[1]机型!A:E,2,0)</f>
        <v>963.04000000000008</v>
      </c>
      <c r="E34">
        <f>VLOOKUP(C34,[1]机型!A:E,3,0)</f>
        <v>3900</v>
      </c>
      <c r="F34">
        <f>VLOOKUP(C34,[1]机型!A:E,4,0)</f>
        <v>16</v>
      </c>
      <c r="G34">
        <f>VLOOKUP(C34,[1]机型!A:E,5,0)</f>
        <v>555</v>
      </c>
    </row>
    <row r="35" spans="1:7" x14ac:dyDescent="0.25">
      <c r="A35" s="5" t="s">
        <v>20</v>
      </c>
      <c r="B35" t="s">
        <v>8</v>
      </c>
      <c r="C35" t="s">
        <v>9</v>
      </c>
      <c r="D35">
        <f>VLOOKUP(C35,[1]机型!A:E,2,0)</f>
        <v>963.04000000000008</v>
      </c>
      <c r="E35">
        <f>VLOOKUP(C35,[1]机型!A:E,3,0)</f>
        <v>3900</v>
      </c>
      <c r="F35">
        <f>VLOOKUP(C35,[1]机型!A:E,4,0)</f>
        <v>16</v>
      </c>
      <c r="G35">
        <f>VLOOKUP(C35,[1]机型!A:E,5,0)</f>
        <v>555</v>
      </c>
    </row>
    <row r="36" spans="1:7" x14ac:dyDescent="0.25">
      <c r="A36" s="5" t="s">
        <v>20</v>
      </c>
      <c r="B36" t="s">
        <v>8</v>
      </c>
      <c r="C36" t="s">
        <v>9</v>
      </c>
      <c r="D36">
        <f>VLOOKUP(C36,[1]机型!A:E,2,0)</f>
        <v>963.04000000000008</v>
      </c>
      <c r="E36">
        <f>VLOOKUP(C36,[1]机型!A:E,3,0)</f>
        <v>3900</v>
      </c>
      <c r="F36">
        <f>VLOOKUP(C36,[1]机型!A:E,4,0)</f>
        <v>16</v>
      </c>
      <c r="G36">
        <f>VLOOKUP(C36,[1]机型!A:E,5,0)</f>
        <v>555</v>
      </c>
    </row>
    <row r="37" spans="1:7" x14ac:dyDescent="0.25">
      <c r="A37" s="5" t="s">
        <v>20</v>
      </c>
      <c r="B37" t="s">
        <v>8</v>
      </c>
      <c r="C37" t="s">
        <v>9</v>
      </c>
      <c r="D37">
        <f>VLOOKUP(C37,[1]机型!A:E,2,0)</f>
        <v>963.04000000000008</v>
      </c>
      <c r="E37">
        <f>VLOOKUP(C37,[1]机型!A:E,3,0)</f>
        <v>3900</v>
      </c>
      <c r="F37">
        <f>VLOOKUP(C37,[1]机型!A:E,4,0)</f>
        <v>16</v>
      </c>
      <c r="G37">
        <f>VLOOKUP(C37,[1]机型!A:E,5,0)</f>
        <v>555</v>
      </c>
    </row>
    <row r="38" spans="1:7" x14ac:dyDescent="0.25">
      <c r="A38" s="5" t="s">
        <v>20</v>
      </c>
      <c r="B38" t="s">
        <v>8</v>
      </c>
      <c r="C38" t="s">
        <v>9</v>
      </c>
      <c r="D38">
        <f>VLOOKUP(C38,[1]机型!A:E,2,0)</f>
        <v>963.04000000000008</v>
      </c>
      <c r="E38">
        <f>VLOOKUP(C38,[1]机型!A:E,3,0)</f>
        <v>3900</v>
      </c>
      <c r="F38">
        <f>VLOOKUP(C38,[1]机型!A:E,4,0)</f>
        <v>16</v>
      </c>
      <c r="G38">
        <f>VLOOKUP(C38,[1]机型!A:E,5,0)</f>
        <v>555</v>
      </c>
    </row>
    <row r="39" spans="1:7" x14ac:dyDescent="0.25">
      <c r="A39" s="5" t="s">
        <v>20</v>
      </c>
      <c r="B39" t="s">
        <v>8</v>
      </c>
      <c r="C39" t="s">
        <v>9</v>
      </c>
      <c r="D39">
        <f>VLOOKUP(C39,[1]机型!A:E,2,0)</f>
        <v>963.04000000000008</v>
      </c>
      <c r="E39">
        <f>VLOOKUP(C39,[1]机型!A:E,3,0)</f>
        <v>3900</v>
      </c>
      <c r="F39">
        <f>VLOOKUP(C39,[1]机型!A:E,4,0)</f>
        <v>16</v>
      </c>
      <c r="G39">
        <f>VLOOKUP(C39,[1]机型!A:E,5,0)</f>
        <v>555</v>
      </c>
    </row>
    <row r="40" spans="1:7" x14ac:dyDescent="0.25">
      <c r="A40" s="5" t="s">
        <v>20</v>
      </c>
      <c r="B40" t="s">
        <v>8</v>
      </c>
      <c r="C40" t="s">
        <v>9</v>
      </c>
      <c r="D40">
        <f>VLOOKUP(C40,[1]机型!A:E,2,0)</f>
        <v>963.04000000000008</v>
      </c>
      <c r="E40">
        <f>VLOOKUP(C40,[1]机型!A:E,3,0)</f>
        <v>3900</v>
      </c>
      <c r="F40">
        <f>VLOOKUP(C40,[1]机型!A:E,4,0)</f>
        <v>16</v>
      </c>
      <c r="G40">
        <f>VLOOKUP(C40,[1]机型!A:E,5,0)</f>
        <v>555</v>
      </c>
    </row>
    <row r="41" spans="1:7" x14ac:dyDescent="0.25">
      <c r="A41" s="5" t="s">
        <v>20</v>
      </c>
      <c r="B41" t="s">
        <v>8</v>
      </c>
      <c r="C41" t="s">
        <v>9</v>
      </c>
      <c r="D41">
        <f>VLOOKUP(C41,[1]机型!A:E,2,0)</f>
        <v>963.04000000000008</v>
      </c>
      <c r="E41">
        <f>VLOOKUP(C41,[1]机型!A:E,3,0)</f>
        <v>3900</v>
      </c>
      <c r="F41">
        <f>VLOOKUP(C41,[1]机型!A:E,4,0)</f>
        <v>16</v>
      </c>
      <c r="G41">
        <f>VLOOKUP(C41,[1]机型!A:E,5,0)</f>
        <v>555</v>
      </c>
    </row>
    <row r="42" spans="1:7" x14ac:dyDescent="0.25">
      <c r="A42" s="5" t="s">
        <v>20</v>
      </c>
      <c r="B42" t="s">
        <v>8</v>
      </c>
      <c r="C42" t="s">
        <v>9</v>
      </c>
      <c r="D42">
        <f>VLOOKUP(C42,[1]机型!A:E,2,0)</f>
        <v>963.04000000000008</v>
      </c>
      <c r="E42">
        <f>VLOOKUP(C42,[1]机型!A:E,3,0)</f>
        <v>3900</v>
      </c>
      <c r="F42">
        <f>VLOOKUP(C42,[1]机型!A:E,4,0)</f>
        <v>16</v>
      </c>
      <c r="G42">
        <f>VLOOKUP(C42,[1]机型!A:E,5,0)</f>
        <v>555</v>
      </c>
    </row>
    <row r="43" spans="1:7" x14ac:dyDescent="0.25">
      <c r="A43" s="5" t="s">
        <v>20</v>
      </c>
      <c r="B43" t="s">
        <v>8</v>
      </c>
      <c r="C43" t="s">
        <v>9</v>
      </c>
      <c r="D43">
        <f>VLOOKUP(C43,[1]机型!A:E,2,0)</f>
        <v>963.04000000000008</v>
      </c>
      <c r="E43">
        <f>VLOOKUP(C43,[1]机型!A:E,3,0)</f>
        <v>3900</v>
      </c>
      <c r="F43">
        <f>VLOOKUP(C43,[1]机型!A:E,4,0)</f>
        <v>16</v>
      </c>
      <c r="G43">
        <f>VLOOKUP(C43,[1]机型!A:E,5,0)</f>
        <v>555</v>
      </c>
    </row>
    <row r="44" spans="1:7" x14ac:dyDescent="0.25">
      <c r="A44" s="5" t="s">
        <v>20</v>
      </c>
      <c r="B44" t="s">
        <v>8</v>
      </c>
      <c r="C44" t="s">
        <v>9</v>
      </c>
      <c r="D44">
        <f>VLOOKUP(C44,[1]机型!A:E,2,0)</f>
        <v>963.04000000000008</v>
      </c>
      <c r="E44">
        <f>VLOOKUP(C44,[1]机型!A:E,3,0)</f>
        <v>3900</v>
      </c>
      <c r="F44">
        <f>VLOOKUP(C44,[1]机型!A:E,4,0)</f>
        <v>16</v>
      </c>
      <c r="G44">
        <f>VLOOKUP(C44,[1]机型!A:E,5,0)</f>
        <v>555</v>
      </c>
    </row>
    <row r="45" spans="1:7" x14ac:dyDescent="0.25">
      <c r="A45" s="5" t="s">
        <v>20</v>
      </c>
      <c r="B45" t="s">
        <v>8</v>
      </c>
      <c r="C45" t="s">
        <v>9</v>
      </c>
      <c r="D45">
        <f>VLOOKUP(C45,[1]机型!A:E,2,0)</f>
        <v>963.04000000000008</v>
      </c>
      <c r="E45">
        <f>VLOOKUP(C45,[1]机型!A:E,3,0)</f>
        <v>3900</v>
      </c>
      <c r="F45">
        <f>VLOOKUP(C45,[1]机型!A:E,4,0)</f>
        <v>16</v>
      </c>
      <c r="G45">
        <f>VLOOKUP(C45,[1]机型!A:E,5,0)</f>
        <v>555</v>
      </c>
    </row>
    <row r="46" spans="1:7" x14ac:dyDescent="0.25">
      <c r="A46" s="5" t="s">
        <v>20</v>
      </c>
      <c r="B46" t="s">
        <v>8</v>
      </c>
      <c r="C46" t="s">
        <v>9</v>
      </c>
      <c r="D46">
        <f>VLOOKUP(C46,[1]机型!A:E,2,0)</f>
        <v>963.04000000000008</v>
      </c>
      <c r="E46">
        <f>VLOOKUP(C46,[1]机型!A:E,3,0)</f>
        <v>3900</v>
      </c>
      <c r="F46">
        <f>VLOOKUP(C46,[1]机型!A:E,4,0)</f>
        <v>16</v>
      </c>
      <c r="G46">
        <f>VLOOKUP(C46,[1]机型!A:E,5,0)</f>
        <v>555</v>
      </c>
    </row>
    <row r="47" spans="1:7" s="7" customFormat="1" ht="14.4" thickBot="1" x14ac:dyDescent="0.3">
      <c r="A47" s="6" t="s">
        <v>20</v>
      </c>
      <c r="B47" s="7" t="s">
        <v>8</v>
      </c>
      <c r="C47" s="7" t="s">
        <v>9</v>
      </c>
      <c r="D47">
        <f>VLOOKUP(C47,[1]机型!A:E,2,0)</f>
        <v>963.04000000000008</v>
      </c>
      <c r="E47">
        <f>VLOOKUP(C47,[1]机型!A:E,3,0)</f>
        <v>3900</v>
      </c>
      <c r="F47">
        <f>VLOOKUP(C47,[1]机型!A:E,4,0)</f>
        <v>16</v>
      </c>
      <c r="G47">
        <f>VLOOKUP(C47,[1]机型!A:E,5,0)</f>
        <v>555</v>
      </c>
    </row>
    <row r="48" spans="1:7" s="4" customFormat="1" x14ac:dyDescent="0.25">
      <c r="A48" s="3" t="s">
        <v>21</v>
      </c>
      <c r="B48" s="4" t="s">
        <v>8</v>
      </c>
      <c r="C48" s="4" t="s">
        <v>9</v>
      </c>
      <c r="D48">
        <f>VLOOKUP(C48,[1]机型!A:E,2,0)</f>
        <v>963.04000000000008</v>
      </c>
      <c r="E48">
        <f>VLOOKUP(C48,[1]机型!A:E,3,0)</f>
        <v>3900</v>
      </c>
      <c r="F48">
        <f>VLOOKUP(C48,[1]机型!A:E,4,0)</f>
        <v>16</v>
      </c>
      <c r="G48">
        <f>VLOOKUP(C48,[1]机型!A:E,5,0)</f>
        <v>555</v>
      </c>
    </row>
    <row r="49" spans="1:7" x14ac:dyDescent="0.25">
      <c r="A49" s="5" t="s">
        <v>21</v>
      </c>
      <c r="B49" t="s">
        <v>8</v>
      </c>
      <c r="C49" t="s">
        <v>10</v>
      </c>
      <c r="D49">
        <f>VLOOKUP(C49,[1]机型!A:E,2,0)</f>
        <v>893</v>
      </c>
      <c r="E49">
        <f>VLOOKUP(C49,[1]机型!A:E,3,0)</f>
        <v>2400</v>
      </c>
      <c r="F49">
        <f>VLOOKUP(C49,[1]机型!A:E,4,0)</f>
        <v>12</v>
      </c>
      <c r="G49">
        <f>VLOOKUP(C49,[1]机型!A:E,5,0)</f>
        <v>390</v>
      </c>
    </row>
    <row r="50" spans="1:7" x14ac:dyDescent="0.25">
      <c r="A50" s="5" t="s">
        <v>21</v>
      </c>
      <c r="B50" t="s">
        <v>8</v>
      </c>
      <c r="C50" t="s">
        <v>9</v>
      </c>
      <c r="D50">
        <f>VLOOKUP(C50,[1]机型!A:E,2,0)</f>
        <v>963.04000000000008</v>
      </c>
      <c r="E50">
        <f>VLOOKUP(C50,[1]机型!A:E,3,0)</f>
        <v>3900</v>
      </c>
      <c r="F50">
        <f>VLOOKUP(C50,[1]机型!A:E,4,0)</f>
        <v>16</v>
      </c>
      <c r="G50">
        <f>VLOOKUP(C50,[1]机型!A:E,5,0)</f>
        <v>555</v>
      </c>
    </row>
    <row r="51" spans="1:7" x14ac:dyDescent="0.25">
      <c r="A51" s="5" t="s">
        <v>21</v>
      </c>
      <c r="B51" t="s">
        <v>8</v>
      </c>
      <c r="C51" t="s">
        <v>9</v>
      </c>
      <c r="D51">
        <f>VLOOKUP(C51,[1]机型!A:E,2,0)</f>
        <v>963.04000000000008</v>
      </c>
      <c r="E51">
        <f>VLOOKUP(C51,[1]机型!A:E,3,0)</f>
        <v>3900</v>
      </c>
      <c r="F51">
        <f>VLOOKUP(C51,[1]机型!A:E,4,0)</f>
        <v>16</v>
      </c>
      <c r="G51">
        <f>VLOOKUP(C51,[1]机型!A:E,5,0)</f>
        <v>555</v>
      </c>
    </row>
    <row r="52" spans="1:7" x14ac:dyDescent="0.25">
      <c r="A52" s="5" t="s">
        <v>21</v>
      </c>
      <c r="B52" t="s">
        <v>8</v>
      </c>
      <c r="C52" t="s">
        <v>9</v>
      </c>
      <c r="D52">
        <f>VLOOKUP(C52,[1]机型!A:E,2,0)</f>
        <v>963.04000000000008</v>
      </c>
      <c r="E52">
        <f>VLOOKUP(C52,[1]机型!A:E,3,0)</f>
        <v>3900</v>
      </c>
      <c r="F52">
        <f>VLOOKUP(C52,[1]机型!A:E,4,0)</f>
        <v>16</v>
      </c>
      <c r="G52">
        <f>VLOOKUP(C52,[1]机型!A:E,5,0)</f>
        <v>555</v>
      </c>
    </row>
    <row r="53" spans="1:7" x14ac:dyDescent="0.25">
      <c r="A53" s="5" t="s">
        <v>21</v>
      </c>
      <c r="B53" t="s">
        <v>8</v>
      </c>
      <c r="C53" t="s">
        <v>10</v>
      </c>
      <c r="D53">
        <f>VLOOKUP(C53,[1]机型!A:E,2,0)</f>
        <v>893</v>
      </c>
      <c r="E53">
        <f>VLOOKUP(C53,[1]机型!A:E,3,0)</f>
        <v>2400</v>
      </c>
      <c r="F53">
        <f>VLOOKUP(C53,[1]机型!A:E,4,0)</f>
        <v>12</v>
      </c>
      <c r="G53">
        <f>VLOOKUP(C53,[1]机型!A:E,5,0)</f>
        <v>390</v>
      </c>
    </row>
    <row r="54" spans="1:7" x14ac:dyDescent="0.25">
      <c r="A54" s="5" t="s">
        <v>21</v>
      </c>
      <c r="B54" t="s">
        <v>8</v>
      </c>
      <c r="C54" t="s">
        <v>9</v>
      </c>
      <c r="D54">
        <f>VLOOKUP(C54,[1]机型!A:E,2,0)</f>
        <v>963.04000000000008</v>
      </c>
      <c r="E54">
        <f>VLOOKUP(C54,[1]机型!A:E,3,0)</f>
        <v>3900</v>
      </c>
      <c r="F54">
        <f>VLOOKUP(C54,[1]机型!A:E,4,0)</f>
        <v>16</v>
      </c>
      <c r="G54">
        <f>VLOOKUP(C54,[1]机型!A:E,5,0)</f>
        <v>555</v>
      </c>
    </row>
    <row r="55" spans="1:7" x14ac:dyDescent="0.25">
      <c r="A55" s="5" t="s">
        <v>21</v>
      </c>
      <c r="B55" t="s">
        <v>8</v>
      </c>
      <c r="C55" t="s">
        <v>9</v>
      </c>
      <c r="D55">
        <f>VLOOKUP(C55,[1]机型!A:E,2,0)</f>
        <v>963.04000000000008</v>
      </c>
      <c r="E55">
        <f>VLOOKUP(C55,[1]机型!A:E,3,0)</f>
        <v>3900</v>
      </c>
      <c r="F55">
        <f>VLOOKUP(C55,[1]机型!A:E,4,0)</f>
        <v>16</v>
      </c>
      <c r="G55">
        <f>VLOOKUP(C55,[1]机型!A:E,5,0)</f>
        <v>555</v>
      </c>
    </row>
    <row r="56" spans="1:7" x14ac:dyDescent="0.25">
      <c r="A56" s="5" t="s">
        <v>21</v>
      </c>
      <c r="B56" t="s">
        <v>8</v>
      </c>
      <c r="C56" t="s">
        <v>9</v>
      </c>
      <c r="D56">
        <f>VLOOKUP(C56,[1]机型!A:E,2,0)</f>
        <v>963.04000000000008</v>
      </c>
      <c r="E56">
        <f>VLOOKUP(C56,[1]机型!A:E,3,0)</f>
        <v>3900</v>
      </c>
      <c r="F56">
        <f>VLOOKUP(C56,[1]机型!A:E,4,0)</f>
        <v>16</v>
      </c>
      <c r="G56">
        <f>VLOOKUP(C56,[1]机型!A:E,5,0)</f>
        <v>555</v>
      </c>
    </row>
    <row r="57" spans="1:7" x14ac:dyDescent="0.25">
      <c r="A57" s="5" t="s">
        <v>21</v>
      </c>
      <c r="B57" t="s">
        <v>8</v>
      </c>
      <c r="C57" t="s">
        <v>10</v>
      </c>
      <c r="D57">
        <f>VLOOKUP(C57,[1]机型!A:E,2,0)</f>
        <v>893</v>
      </c>
      <c r="E57">
        <f>VLOOKUP(C57,[1]机型!A:E,3,0)</f>
        <v>2400</v>
      </c>
      <c r="F57">
        <f>VLOOKUP(C57,[1]机型!A:E,4,0)</f>
        <v>12</v>
      </c>
      <c r="G57">
        <f>VLOOKUP(C57,[1]机型!A:E,5,0)</f>
        <v>390</v>
      </c>
    </row>
    <row r="58" spans="1:7" x14ac:dyDescent="0.25">
      <c r="A58" s="5" t="s">
        <v>21</v>
      </c>
      <c r="B58" t="s">
        <v>8</v>
      </c>
      <c r="C58" t="s">
        <v>9</v>
      </c>
      <c r="D58">
        <f>VLOOKUP(C58,[1]机型!A:E,2,0)</f>
        <v>963.04000000000008</v>
      </c>
      <c r="E58">
        <f>VLOOKUP(C58,[1]机型!A:E,3,0)</f>
        <v>3900</v>
      </c>
      <c r="F58">
        <f>VLOOKUP(C58,[1]机型!A:E,4,0)</f>
        <v>16</v>
      </c>
      <c r="G58">
        <f>VLOOKUP(C58,[1]机型!A:E,5,0)</f>
        <v>555</v>
      </c>
    </row>
    <row r="59" spans="1:7" s="7" customFormat="1" ht="14.4" thickBot="1" x14ac:dyDescent="0.3">
      <c r="A59" s="6" t="s">
        <v>21</v>
      </c>
      <c r="B59" s="7" t="s">
        <v>8</v>
      </c>
      <c r="C59" s="7" t="s">
        <v>9</v>
      </c>
      <c r="D59">
        <f>VLOOKUP(C59,[1]机型!A:E,2,0)</f>
        <v>963.04000000000008</v>
      </c>
      <c r="E59">
        <f>VLOOKUP(C59,[1]机型!A:E,3,0)</f>
        <v>3900</v>
      </c>
      <c r="F59">
        <f>VLOOKUP(C59,[1]机型!A:E,4,0)</f>
        <v>16</v>
      </c>
      <c r="G59">
        <f>VLOOKUP(C59,[1]机型!A:E,5,0)</f>
        <v>555</v>
      </c>
    </row>
    <row r="60" spans="1:7" s="4" customFormat="1" x14ac:dyDescent="0.25">
      <c r="A60" s="3" t="s">
        <v>22</v>
      </c>
      <c r="B60" s="4" t="s">
        <v>8</v>
      </c>
      <c r="C60" s="4" t="s">
        <v>23</v>
      </c>
      <c r="D60">
        <f>VLOOKUP(C60,[1]机型!A:E,2,0)</f>
        <v>905</v>
      </c>
      <c r="E60">
        <f>VLOOKUP(C60,[1]机型!A:E,3,0)</f>
        <v>2450</v>
      </c>
      <c r="F60">
        <f>VLOOKUP(C60,[1]机型!A:E,4,0)</f>
        <v>11</v>
      </c>
      <c r="G60">
        <f>VLOOKUP(C60,[1]机型!A:E,5,0)</f>
        <v>305</v>
      </c>
    </row>
    <row r="61" spans="1:7" x14ac:dyDescent="0.25">
      <c r="A61" s="5" t="s">
        <v>22</v>
      </c>
      <c r="B61" t="s">
        <v>8</v>
      </c>
      <c r="C61" t="s">
        <v>9</v>
      </c>
      <c r="D61">
        <f>VLOOKUP(C61,[1]机型!A:E,2,0)</f>
        <v>963.04000000000008</v>
      </c>
      <c r="E61">
        <f>VLOOKUP(C61,[1]机型!A:E,3,0)</f>
        <v>3900</v>
      </c>
      <c r="F61">
        <f>VLOOKUP(C61,[1]机型!A:E,4,0)</f>
        <v>16</v>
      </c>
      <c r="G61">
        <f>VLOOKUP(C61,[1]机型!A:E,5,0)</f>
        <v>555</v>
      </c>
    </row>
    <row r="62" spans="1:7" x14ac:dyDescent="0.25">
      <c r="A62" s="5" t="s">
        <v>22</v>
      </c>
      <c r="B62" t="s">
        <v>8</v>
      </c>
      <c r="C62" t="s">
        <v>9</v>
      </c>
      <c r="D62">
        <f>VLOOKUP(C62,[1]机型!A:E,2,0)</f>
        <v>963.04000000000008</v>
      </c>
      <c r="E62">
        <f>VLOOKUP(C62,[1]机型!A:E,3,0)</f>
        <v>3900</v>
      </c>
      <c r="F62">
        <f>VLOOKUP(C62,[1]机型!A:E,4,0)</f>
        <v>16</v>
      </c>
      <c r="G62">
        <f>VLOOKUP(C62,[1]机型!A:E,5,0)</f>
        <v>555</v>
      </c>
    </row>
    <row r="63" spans="1:7" x14ac:dyDescent="0.25">
      <c r="A63" s="5" t="s">
        <v>22</v>
      </c>
      <c r="B63" t="s">
        <v>8</v>
      </c>
      <c r="C63" t="s">
        <v>9</v>
      </c>
      <c r="D63">
        <f>VLOOKUP(C63,[1]机型!A:E,2,0)</f>
        <v>963.04000000000008</v>
      </c>
      <c r="E63">
        <f>VLOOKUP(C63,[1]机型!A:E,3,0)</f>
        <v>3900</v>
      </c>
      <c r="F63">
        <f>VLOOKUP(C63,[1]机型!A:E,4,0)</f>
        <v>16</v>
      </c>
      <c r="G63">
        <f>VLOOKUP(C63,[1]机型!A:E,5,0)</f>
        <v>555</v>
      </c>
    </row>
    <row r="64" spans="1:7" x14ac:dyDescent="0.25">
      <c r="A64" s="5" t="s">
        <v>22</v>
      </c>
      <c r="B64" t="s">
        <v>8</v>
      </c>
      <c r="C64" t="s">
        <v>23</v>
      </c>
      <c r="D64">
        <f>VLOOKUP(C64,[1]机型!A:E,2,0)</f>
        <v>905</v>
      </c>
      <c r="E64">
        <f>VLOOKUP(C64,[1]机型!A:E,3,0)</f>
        <v>2450</v>
      </c>
      <c r="F64">
        <f>VLOOKUP(C64,[1]机型!A:E,4,0)</f>
        <v>11</v>
      </c>
      <c r="G64">
        <f>VLOOKUP(C64,[1]机型!A:E,5,0)</f>
        <v>305</v>
      </c>
    </row>
    <row r="65" spans="1:7" x14ac:dyDescent="0.25">
      <c r="A65" s="5" t="s">
        <v>22</v>
      </c>
      <c r="B65" t="s">
        <v>17</v>
      </c>
      <c r="C65" t="s">
        <v>19</v>
      </c>
      <c r="D65">
        <f>VLOOKUP(C65,[1]机型!A:E,2,0)</f>
        <v>840</v>
      </c>
      <c r="E65">
        <f>VLOOKUP(C65,[1]机型!A:E,3,0)</f>
        <v>826</v>
      </c>
      <c r="F65">
        <f>VLOOKUP(C65,[1]机型!A:E,4,0)</f>
        <v>7</v>
      </c>
      <c r="G65">
        <f>VLOOKUP(C65,[1]机型!A:E,5,0)</f>
        <v>150</v>
      </c>
    </row>
    <row r="66" spans="1:7" x14ac:dyDescent="0.25">
      <c r="A66" s="5" t="s">
        <v>22</v>
      </c>
      <c r="B66" t="s">
        <v>8</v>
      </c>
      <c r="C66" t="s">
        <v>9</v>
      </c>
      <c r="D66">
        <f>VLOOKUP(C66,[1]机型!A:E,2,0)</f>
        <v>963.04000000000008</v>
      </c>
      <c r="E66">
        <f>VLOOKUP(C66,[1]机型!A:E,3,0)</f>
        <v>3900</v>
      </c>
      <c r="F66">
        <f>VLOOKUP(C66,[1]机型!A:E,4,0)</f>
        <v>16</v>
      </c>
      <c r="G66">
        <f>VLOOKUP(C66,[1]机型!A:E,5,0)</f>
        <v>555</v>
      </c>
    </row>
    <row r="67" spans="1:7" x14ac:dyDescent="0.25">
      <c r="A67" s="5" t="s">
        <v>22</v>
      </c>
      <c r="B67" t="s">
        <v>24</v>
      </c>
      <c r="C67" t="s">
        <v>25</v>
      </c>
      <c r="D67">
        <f>VLOOKUP(C67,[1]机型!A:E,2,0)</f>
        <v>860</v>
      </c>
      <c r="E67">
        <f>VLOOKUP(C67,[1]机型!A:E,3,0)</f>
        <v>1850</v>
      </c>
      <c r="F67">
        <f>VLOOKUP(C67,[1]机型!A:E,4,0)</f>
        <v>11</v>
      </c>
      <c r="G67">
        <f>VLOOKUP(C67,[1]机型!A:E,5,0)</f>
        <v>335</v>
      </c>
    </row>
    <row r="68" spans="1:7" x14ac:dyDescent="0.25">
      <c r="A68" s="5" t="s">
        <v>22</v>
      </c>
      <c r="B68" t="s">
        <v>8</v>
      </c>
      <c r="C68" t="s">
        <v>10</v>
      </c>
      <c r="D68">
        <f>VLOOKUP(C68,[1]机型!A:E,2,0)</f>
        <v>893</v>
      </c>
      <c r="E68">
        <f>VLOOKUP(C68,[1]机型!A:E,3,0)</f>
        <v>2400</v>
      </c>
      <c r="F68">
        <f>VLOOKUP(C68,[1]机型!A:E,4,0)</f>
        <v>12</v>
      </c>
      <c r="G68">
        <f>VLOOKUP(C68,[1]机型!A:E,5,0)</f>
        <v>390</v>
      </c>
    </row>
    <row r="69" spans="1:7" x14ac:dyDescent="0.25">
      <c r="A69" s="5" t="s">
        <v>22</v>
      </c>
      <c r="B69" t="s">
        <v>14</v>
      </c>
      <c r="C69" t="s">
        <v>15</v>
      </c>
      <c r="D69">
        <f>VLOOKUP(C69,[1]机型!A:E,2,0)</f>
        <v>828</v>
      </c>
      <c r="E69">
        <f>VLOOKUP(C69,[1]机型!A:E,3,0)</f>
        <v>950</v>
      </c>
      <c r="F69">
        <f>VLOOKUP(C69,[1]机型!A:E,4,0)</f>
        <v>8</v>
      </c>
      <c r="G69">
        <f>VLOOKUP(C69,[1]机型!A:E,5,0)</f>
        <v>186</v>
      </c>
    </row>
    <row r="70" spans="1:7" x14ac:dyDescent="0.25">
      <c r="A70" s="5" t="s">
        <v>22</v>
      </c>
      <c r="B70" t="s">
        <v>16</v>
      </c>
      <c r="C70" t="s">
        <v>19</v>
      </c>
      <c r="D70">
        <f>VLOOKUP(C70,[1]机型!A:E,2,0)</f>
        <v>840</v>
      </c>
      <c r="E70">
        <f>VLOOKUP(C70,[1]机型!A:E,3,0)</f>
        <v>826</v>
      </c>
      <c r="F70">
        <f>VLOOKUP(C70,[1]机型!A:E,4,0)</f>
        <v>7</v>
      </c>
      <c r="G70">
        <f>VLOOKUP(C70,[1]机型!A:E,5,0)</f>
        <v>150</v>
      </c>
    </row>
    <row r="71" spans="1:7" x14ac:dyDescent="0.25">
      <c r="A71" s="5" t="s">
        <v>22</v>
      </c>
      <c r="B71" t="s">
        <v>16</v>
      </c>
      <c r="C71" t="s">
        <v>10</v>
      </c>
      <c r="D71">
        <f>VLOOKUP(C71,[1]机型!A:E,2,0)</f>
        <v>893</v>
      </c>
      <c r="E71">
        <f>VLOOKUP(C71,[1]机型!A:E,3,0)</f>
        <v>2400</v>
      </c>
      <c r="F71">
        <f>VLOOKUP(C71,[1]机型!A:E,4,0)</f>
        <v>12</v>
      </c>
      <c r="G71">
        <f>VLOOKUP(C71,[1]机型!A:E,5,0)</f>
        <v>390</v>
      </c>
    </row>
    <row r="72" spans="1:7" x14ac:dyDescent="0.25">
      <c r="A72" s="5" t="s">
        <v>22</v>
      </c>
      <c r="B72" t="s">
        <v>24</v>
      </c>
      <c r="C72" t="s">
        <v>25</v>
      </c>
      <c r="D72">
        <f>VLOOKUP(C72,[1]机型!A:E,2,0)</f>
        <v>860</v>
      </c>
      <c r="E72">
        <f>VLOOKUP(C72,[1]机型!A:E,3,0)</f>
        <v>1850</v>
      </c>
      <c r="F72">
        <f>VLOOKUP(C72,[1]机型!A:E,4,0)</f>
        <v>11</v>
      </c>
      <c r="G72">
        <f>VLOOKUP(C72,[1]机型!A:E,5,0)</f>
        <v>335</v>
      </c>
    </row>
    <row r="73" spans="1:7" x14ac:dyDescent="0.25">
      <c r="A73" s="5" t="s">
        <v>22</v>
      </c>
      <c r="B73" t="s">
        <v>8</v>
      </c>
      <c r="C73" t="s">
        <v>10</v>
      </c>
      <c r="D73">
        <f>VLOOKUP(C73,[1]机型!A:E,2,0)</f>
        <v>893</v>
      </c>
      <c r="E73">
        <f>VLOOKUP(C73,[1]机型!A:E,3,0)</f>
        <v>2400</v>
      </c>
      <c r="F73">
        <f>VLOOKUP(C73,[1]机型!A:E,4,0)</f>
        <v>12</v>
      </c>
      <c r="G73">
        <f>VLOOKUP(C73,[1]机型!A:E,5,0)</f>
        <v>390</v>
      </c>
    </row>
    <row r="74" spans="1:7" x14ac:dyDescent="0.25">
      <c r="A74" s="5" t="s">
        <v>22</v>
      </c>
      <c r="B74" t="s">
        <v>8</v>
      </c>
      <c r="C74" t="s">
        <v>9</v>
      </c>
      <c r="D74">
        <f>VLOOKUP(C74,[1]机型!A:E,2,0)</f>
        <v>963.04000000000008</v>
      </c>
      <c r="E74">
        <f>VLOOKUP(C74,[1]机型!A:E,3,0)</f>
        <v>3900</v>
      </c>
      <c r="F74">
        <f>VLOOKUP(C74,[1]机型!A:E,4,0)</f>
        <v>16</v>
      </c>
      <c r="G74">
        <f>VLOOKUP(C74,[1]机型!A:E,5,0)</f>
        <v>555</v>
      </c>
    </row>
    <row r="75" spans="1:7" x14ac:dyDescent="0.25">
      <c r="A75" s="5" t="s">
        <v>22</v>
      </c>
      <c r="B75" t="s">
        <v>8</v>
      </c>
      <c r="C75" t="s">
        <v>9</v>
      </c>
      <c r="D75">
        <f>VLOOKUP(C75,[1]机型!A:E,2,0)</f>
        <v>963.04000000000008</v>
      </c>
      <c r="E75">
        <f>VLOOKUP(C75,[1]机型!A:E,3,0)</f>
        <v>3900</v>
      </c>
      <c r="F75">
        <f>VLOOKUP(C75,[1]机型!A:E,4,0)</f>
        <v>16</v>
      </c>
      <c r="G75">
        <f>VLOOKUP(C75,[1]机型!A:E,5,0)</f>
        <v>555</v>
      </c>
    </row>
    <row r="76" spans="1:7" x14ac:dyDescent="0.25">
      <c r="A76" s="5" t="s">
        <v>22</v>
      </c>
      <c r="B76" t="s">
        <v>17</v>
      </c>
      <c r="C76" t="s">
        <v>10</v>
      </c>
      <c r="D76">
        <f>VLOOKUP(C76,[1]机型!A:E,2,0)</f>
        <v>893</v>
      </c>
      <c r="E76">
        <f>VLOOKUP(C76,[1]机型!A:E,3,0)</f>
        <v>2400</v>
      </c>
      <c r="F76">
        <f>VLOOKUP(C76,[1]机型!A:E,4,0)</f>
        <v>12</v>
      </c>
      <c r="G76">
        <f>VLOOKUP(C76,[1]机型!A:E,5,0)</f>
        <v>390</v>
      </c>
    </row>
    <row r="77" spans="1:7" x14ac:dyDescent="0.25">
      <c r="A77" s="5" t="s">
        <v>22</v>
      </c>
      <c r="B77" t="s">
        <v>8</v>
      </c>
      <c r="C77" t="s">
        <v>9</v>
      </c>
      <c r="D77">
        <f>VLOOKUP(C77,[1]机型!A:E,2,0)</f>
        <v>963.04000000000008</v>
      </c>
      <c r="E77">
        <f>VLOOKUP(C77,[1]机型!A:E,3,0)</f>
        <v>3900</v>
      </c>
      <c r="F77">
        <f>VLOOKUP(C77,[1]机型!A:E,4,0)</f>
        <v>16</v>
      </c>
      <c r="G77">
        <f>VLOOKUP(C77,[1]机型!A:E,5,0)</f>
        <v>555</v>
      </c>
    </row>
    <row r="78" spans="1:7" x14ac:dyDescent="0.25">
      <c r="A78" s="5" t="s">
        <v>22</v>
      </c>
      <c r="B78" t="s">
        <v>11</v>
      </c>
      <c r="C78" t="s">
        <v>13</v>
      </c>
      <c r="D78">
        <f>VLOOKUP(C78,[1]机型!A:E,2,0)</f>
        <v>901.92400000000009</v>
      </c>
      <c r="E78">
        <f>VLOOKUP(C78,[1]机型!A:E,3,0)</f>
        <v>1900</v>
      </c>
      <c r="F78">
        <f>VLOOKUP(C78,[1]机型!A:E,4,0)</f>
        <v>11</v>
      </c>
      <c r="G78">
        <f>VLOOKUP(C78,[1]机型!A:E,5,0)</f>
        <v>314</v>
      </c>
    </row>
    <row r="79" spans="1:7" x14ac:dyDescent="0.25">
      <c r="A79" s="5" t="s">
        <v>22</v>
      </c>
      <c r="B79" t="s">
        <v>8</v>
      </c>
      <c r="C79" t="s">
        <v>9</v>
      </c>
      <c r="D79">
        <f>VLOOKUP(C79,[1]机型!A:E,2,0)</f>
        <v>963.04000000000008</v>
      </c>
      <c r="E79">
        <f>VLOOKUP(C79,[1]机型!A:E,3,0)</f>
        <v>3900</v>
      </c>
      <c r="F79">
        <f>VLOOKUP(C79,[1]机型!A:E,4,0)</f>
        <v>16</v>
      </c>
      <c r="G79">
        <f>VLOOKUP(C79,[1]机型!A:E,5,0)</f>
        <v>555</v>
      </c>
    </row>
    <row r="80" spans="1:7" x14ac:dyDescent="0.25">
      <c r="A80" s="5" t="s">
        <v>22</v>
      </c>
      <c r="B80" t="s">
        <v>11</v>
      </c>
      <c r="C80" t="s">
        <v>26</v>
      </c>
      <c r="D80">
        <f>VLOOKUP(C80,[1]机型!A:E,2,0)</f>
        <v>907</v>
      </c>
      <c r="E80">
        <f>VLOOKUP(C80,[1]机型!A:E,3,0)</f>
        <v>3400</v>
      </c>
      <c r="F80">
        <f>VLOOKUP(C80,[1]机型!A:E,4,0)</f>
        <v>13</v>
      </c>
      <c r="G80">
        <f>VLOOKUP(C80,[1]机型!A:E,5,0)</f>
        <v>416</v>
      </c>
    </row>
    <row r="81" spans="1:7" s="7" customFormat="1" ht="14.4" thickBot="1" x14ac:dyDescent="0.3">
      <c r="A81" s="6" t="s">
        <v>22</v>
      </c>
      <c r="B81" s="7" t="s">
        <v>24</v>
      </c>
      <c r="C81" s="7" t="s">
        <v>25</v>
      </c>
      <c r="D81">
        <f>VLOOKUP(C81,[1]机型!A:E,2,0)</f>
        <v>860</v>
      </c>
      <c r="E81">
        <f>VLOOKUP(C81,[1]机型!A:E,3,0)</f>
        <v>1850</v>
      </c>
      <c r="F81">
        <f>VLOOKUP(C81,[1]机型!A:E,4,0)</f>
        <v>11</v>
      </c>
      <c r="G81">
        <f>VLOOKUP(C81,[1]机型!A:E,5,0)</f>
        <v>335</v>
      </c>
    </row>
    <row r="82" spans="1:7" s="4" customFormat="1" x14ac:dyDescent="0.25">
      <c r="A82" s="3" t="s">
        <v>27</v>
      </c>
      <c r="B82" s="4" t="s">
        <v>16</v>
      </c>
      <c r="C82" s="4" t="s">
        <v>13</v>
      </c>
      <c r="D82">
        <f>VLOOKUP(C82,[1]机型!A:E,2,0)</f>
        <v>901.92400000000009</v>
      </c>
      <c r="E82">
        <f>VLOOKUP(C82,[1]机型!A:E,3,0)</f>
        <v>1900</v>
      </c>
      <c r="F82">
        <f>VLOOKUP(C82,[1]机型!A:E,4,0)</f>
        <v>11</v>
      </c>
      <c r="G82">
        <f>VLOOKUP(C82,[1]机型!A:E,5,0)</f>
        <v>314</v>
      </c>
    </row>
    <row r="83" spans="1:7" x14ac:dyDescent="0.25">
      <c r="A83" s="5" t="s">
        <v>27</v>
      </c>
      <c r="B83" t="s">
        <v>16</v>
      </c>
      <c r="C83" t="s">
        <v>13</v>
      </c>
      <c r="D83">
        <f>VLOOKUP(C83,[1]机型!A:E,2,0)</f>
        <v>901.92400000000009</v>
      </c>
      <c r="E83">
        <f>VLOOKUP(C83,[1]机型!A:E,3,0)</f>
        <v>1900</v>
      </c>
      <c r="F83">
        <f>VLOOKUP(C83,[1]机型!A:E,4,0)</f>
        <v>11</v>
      </c>
      <c r="G83">
        <f>VLOOKUP(C83,[1]机型!A:E,5,0)</f>
        <v>314</v>
      </c>
    </row>
    <row r="84" spans="1:7" x14ac:dyDescent="0.25">
      <c r="A84" s="5" t="s">
        <v>27</v>
      </c>
      <c r="B84" t="s">
        <v>16</v>
      </c>
      <c r="C84" t="s">
        <v>23</v>
      </c>
      <c r="D84">
        <f>VLOOKUP(C84,[1]机型!A:E,2,0)</f>
        <v>905</v>
      </c>
      <c r="E84">
        <f>VLOOKUP(C84,[1]机型!A:E,3,0)</f>
        <v>2450</v>
      </c>
      <c r="F84">
        <f>VLOOKUP(C84,[1]机型!A:E,4,0)</f>
        <v>11</v>
      </c>
      <c r="G84">
        <f>VLOOKUP(C84,[1]机型!A:E,5,0)</f>
        <v>305</v>
      </c>
    </row>
    <row r="85" spans="1:7" x14ac:dyDescent="0.25">
      <c r="A85" s="5" t="s">
        <v>27</v>
      </c>
      <c r="B85" t="s">
        <v>16</v>
      </c>
      <c r="C85" t="s">
        <v>13</v>
      </c>
      <c r="D85">
        <f>VLOOKUP(C85,[1]机型!A:E,2,0)</f>
        <v>901.92400000000009</v>
      </c>
      <c r="E85">
        <f>VLOOKUP(C85,[1]机型!A:E,3,0)</f>
        <v>1900</v>
      </c>
      <c r="F85">
        <f>VLOOKUP(C85,[1]机型!A:E,4,0)</f>
        <v>11</v>
      </c>
      <c r="G85">
        <f>VLOOKUP(C85,[1]机型!A:E,5,0)</f>
        <v>314</v>
      </c>
    </row>
    <row r="86" spans="1:7" x14ac:dyDescent="0.25">
      <c r="A86" s="5" t="s">
        <v>27</v>
      </c>
      <c r="B86" t="s">
        <v>16</v>
      </c>
      <c r="C86" t="s">
        <v>13</v>
      </c>
      <c r="D86">
        <f>VLOOKUP(C86,[1]机型!A:E,2,0)</f>
        <v>901.92400000000009</v>
      </c>
      <c r="E86">
        <f>VLOOKUP(C86,[1]机型!A:E,3,0)</f>
        <v>1900</v>
      </c>
      <c r="F86">
        <f>VLOOKUP(C86,[1]机型!A:E,4,0)</f>
        <v>11</v>
      </c>
      <c r="G86">
        <f>VLOOKUP(C86,[1]机型!A:E,5,0)</f>
        <v>314</v>
      </c>
    </row>
    <row r="87" spans="1:7" x14ac:dyDescent="0.25">
      <c r="A87" s="5" t="s">
        <v>27</v>
      </c>
      <c r="B87" t="s">
        <v>16</v>
      </c>
      <c r="C87" t="s">
        <v>19</v>
      </c>
      <c r="D87">
        <f>VLOOKUP(C87,[1]机型!A:E,2,0)</f>
        <v>840</v>
      </c>
      <c r="E87">
        <f>VLOOKUP(C87,[1]机型!A:E,3,0)</f>
        <v>826</v>
      </c>
      <c r="F87">
        <f>VLOOKUP(C87,[1]机型!A:E,4,0)</f>
        <v>7</v>
      </c>
      <c r="G87">
        <f>VLOOKUP(C87,[1]机型!A:E,5,0)</f>
        <v>150</v>
      </c>
    </row>
    <row r="88" spans="1:7" x14ac:dyDescent="0.25">
      <c r="A88" s="5" t="s">
        <v>27</v>
      </c>
      <c r="B88" t="s">
        <v>16</v>
      </c>
      <c r="C88" t="s">
        <v>13</v>
      </c>
      <c r="D88">
        <f>VLOOKUP(C88,[1]机型!A:E,2,0)</f>
        <v>901.92400000000009</v>
      </c>
      <c r="E88">
        <f>VLOOKUP(C88,[1]机型!A:E,3,0)</f>
        <v>1900</v>
      </c>
      <c r="F88">
        <f>VLOOKUP(C88,[1]机型!A:E,4,0)</f>
        <v>11</v>
      </c>
      <c r="G88">
        <f>VLOOKUP(C88,[1]机型!A:E,5,0)</f>
        <v>314</v>
      </c>
    </row>
    <row r="89" spans="1:7" x14ac:dyDescent="0.25">
      <c r="A89" s="5" t="s">
        <v>27</v>
      </c>
      <c r="B89" t="s">
        <v>16</v>
      </c>
      <c r="C89" t="s">
        <v>13</v>
      </c>
      <c r="D89">
        <f>VLOOKUP(C89,[1]机型!A:E,2,0)</f>
        <v>901.92400000000009</v>
      </c>
      <c r="E89">
        <f>VLOOKUP(C89,[1]机型!A:E,3,0)</f>
        <v>1900</v>
      </c>
      <c r="F89">
        <f>VLOOKUP(C89,[1]机型!A:E,4,0)</f>
        <v>11</v>
      </c>
      <c r="G89">
        <f>VLOOKUP(C89,[1]机型!A:E,5,0)</f>
        <v>314</v>
      </c>
    </row>
    <row r="90" spans="1:7" x14ac:dyDescent="0.25">
      <c r="A90" s="5" t="s">
        <v>27</v>
      </c>
      <c r="B90" t="s">
        <v>16</v>
      </c>
      <c r="C90" t="s">
        <v>28</v>
      </c>
      <c r="D90">
        <f>VLOOKUP(C90,[1]机型!A:E,2,0)</f>
        <v>828</v>
      </c>
      <c r="E90">
        <f>VLOOKUP(C90,[1]机型!A:E,3,0)</f>
        <v>650</v>
      </c>
      <c r="F90">
        <f>VLOOKUP(C90,[1]机型!A:E,4,0)</f>
        <v>8</v>
      </c>
      <c r="G90">
        <f>VLOOKUP(C90,[1]机型!A:E,5,0)</f>
        <v>186</v>
      </c>
    </row>
    <row r="91" spans="1:7" x14ac:dyDescent="0.25">
      <c r="A91" s="5" t="s">
        <v>27</v>
      </c>
      <c r="B91" t="s">
        <v>16</v>
      </c>
      <c r="C91" t="s">
        <v>28</v>
      </c>
      <c r="D91">
        <f>VLOOKUP(C91,[1]机型!A:E,2,0)</f>
        <v>828</v>
      </c>
      <c r="E91">
        <f>VLOOKUP(C91,[1]机型!A:E,3,0)</f>
        <v>650</v>
      </c>
      <c r="F91">
        <f>VLOOKUP(C91,[1]机型!A:E,4,0)</f>
        <v>8</v>
      </c>
      <c r="G91">
        <f>VLOOKUP(C91,[1]机型!A:E,5,0)</f>
        <v>186</v>
      </c>
    </row>
    <row r="92" spans="1:7" s="7" customFormat="1" ht="14.4" thickBot="1" x14ac:dyDescent="0.3">
      <c r="A92" s="6" t="s">
        <v>27</v>
      </c>
      <c r="B92" s="7" t="s">
        <v>16</v>
      </c>
      <c r="C92" s="7" t="s">
        <v>23</v>
      </c>
      <c r="D92">
        <f>VLOOKUP(C92,[1]机型!A:E,2,0)</f>
        <v>905</v>
      </c>
      <c r="E92">
        <f>VLOOKUP(C92,[1]机型!A:E,3,0)</f>
        <v>2450</v>
      </c>
      <c r="F92">
        <f>VLOOKUP(C92,[1]机型!A:E,4,0)</f>
        <v>11</v>
      </c>
      <c r="G92">
        <f>VLOOKUP(C92,[1]机型!A:E,5,0)</f>
        <v>305</v>
      </c>
    </row>
    <row r="93" spans="1:7" s="4" customFormat="1" x14ac:dyDescent="0.25">
      <c r="A93" s="3" t="s">
        <v>29</v>
      </c>
      <c r="B93" s="4" t="s">
        <v>11</v>
      </c>
      <c r="C93" s="4" t="s">
        <v>10</v>
      </c>
      <c r="D93">
        <f>VLOOKUP(C93,[1]机型!A:E,2,0)</f>
        <v>893</v>
      </c>
      <c r="E93">
        <f>VLOOKUP(C93,[1]机型!A:E,3,0)</f>
        <v>2400</v>
      </c>
      <c r="F93">
        <f>VLOOKUP(C93,[1]机型!A:E,4,0)</f>
        <v>12</v>
      </c>
      <c r="G93">
        <f>VLOOKUP(C93,[1]机型!A:E,5,0)</f>
        <v>390</v>
      </c>
    </row>
    <row r="94" spans="1:7" x14ac:dyDescent="0.25">
      <c r="A94" s="5" t="s">
        <v>29</v>
      </c>
      <c r="B94" t="s">
        <v>11</v>
      </c>
      <c r="C94" t="s">
        <v>9</v>
      </c>
      <c r="D94">
        <f>VLOOKUP(C94,[1]机型!A:E,2,0)</f>
        <v>963.04000000000008</v>
      </c>
      <c r="E94">
        <f>VLOOKUP(C94,[1]机型!A:E,3,0)</f>
        <v>3900</v>
      </c>
      <c r="F94">
        <f>VLOOKUP(C94,[1]机型!A:E,4,0)</f>
        <v>16</v>
      </c>
      <c r="G94">
        <f>VLOOKUP(C94,[1]机型!A:E,5,0)</f>
        <v>555</v>
      </c>
    </row>
    <row r="95" spans="1:7" x14ac:dyDescent="0.25">
      <c r="A95" s="5" t="s">
        <v>29</v>
      </c>
      <c r="B95" t="s">
        <v>11</v>
      </c>
      <c r="C95" t="s">
        <v>10</v>
      </c>
      <c r="D95">
        <f>VLOOKUP(C95,[1]机型!A:E,2,0)</f>
        <v>893</v>
      </c>
      <c r="E95">
        <f>VLOOKUP(C95,[1]机型!A:E,3,0)</f>
        <v>2400</v>
      </c>
      <c r="F95">
        <f>VLOOKUP(C95,[1]机型!A:E,4,0)</f>
        <v>12</v>
      </c>
      <c r="G95">
        <f>VLOOKUP(C95,[1]机型!A:E,5,0)</f>
        <v>390</v>
      </c>
    </row>
    <row r="96" spans="1:7" x14ac:dyDescent="0.25">
      <c r="A96" s="5" t="s">
        <v>29</v>
      </c>
      <c r="B96" t="s">
        <v>30</v>
      </c>
      <c r="C96" t="s">
        <v>10</v>
      </c>
      <c r="D96">
        <f>VLOOKUP(C96,[1]机型!A:E,2,0)</f>
        <v>893</v>
      </c>
      <c r="E96">
        <f>VLOOKUP(C96,[1]机型!A:E,3,0)</f>
        <v>2400</v>
      </c>
      <c r="F96">
        <f>VLOOKUP(C96,[1]机型!A:E,4,0)</f>
        <v>12</v>
      </c>
      <c r="G96">
        <f>VLOOKUP(C96,[1]机型!A:E,5,0)</f>
        <v>390</v>
      </c>
    </row>
    <row r="97" spans="1:7" x14ac:dyDescent="0.25">
      <c r="A97" s="5" t="s">
        <v>29</v>
      </c>
      <c r="B97" t="s">
        <v>11</v>
      </c>
      <c r="C97" t="s">
        <v>9</v>
      </c>
      <c r="D97">
        <f>VLOOKUP(C97,[1]机型!A:E,2,0)</f>
        <v>963.04000000000008</v>
      </c>
      <c r="E97">
        <f>VLOOKUP(C97,[1]机型!A:E,3,0)</f>
        <v>3900</v>
      </c>
      <c r="F97">
        <f>VLOOKUP(C97,[1]机型!A:E,4,0)</f>
        <v>16</v>
      </c>
      <c r="G97">
        <f>VLOOKUP(C97,[1]机型!A:E,5,0)</f>
        <v>555</v>
      </c>
    </row>
    <row r="98" spans="1:7" x14ac:dyDescent="0.25">
      <c r="A98" s="5" t="s">
        <v>29</v>
      </c>
      <c r="B98" t="s">
        <v>30</v>
      </c>
      <c r="C98" t="s">
        <v>31</v>
      </c>
      <c r="D98">
        <f>VLOOKUP(C98,[1]机型!A:E,2,0)</f>
        <v>907.48</v>
      </c>
      <c r="E98">
        <f>VLOOKUP(C98,[1]机型!A:E,3,0)</f>
        <v>1750</v>
      </c>
      <c r="F98">
        <f>VLOOKUP(C98,[1]机型!A:E,4,0)</f>
        <v>9</v>
      </c>
      <c r="G98">
        <f>VLOOKUP(C98,[1]机型!A:E,5,0)</f>
        <v>230</v>
      </c>
    </row>
    <row r="99" spans="1:7" x14ac:dyDescent="0.25">
      <c r="A99" s="5" t="s">
        <v>29</v>
      </c>
      <c r="B99" t="s">
        <v>11</v>
      </c>
      <c r="C99" t="s">
        <v>10</v>
      </c>
      <c r="D99">
        <f>VLOOKUP(C99,[1]机型!A:E,2,0)</f>
        <v>893</v>
      </c>
      <c r="E99">
        <f>VLOOKUP(C99,[1]机型!A:E,3,0)</f>
        <v>2400</v>
      </c>
      <c r="F99">
        <f>VLOOKUP(C99,[1]机型!A:E,4,0)</f>
        <v>12</v>
      </c>
      <c r="G99">
        <f>VLOOKUP(C99,[1]机型!A:E,5,0)</f>
        <v>390</v>
      </c>
    </row>
    <row r="100" spans="1:7" x14ac:dyDescent="0.25">
      <c r="A100" s="5" t="s">
        <v>29</v>
      </c>
      <c r="B100" t="s">
        <v>11</v>
      </c>
      <c r="C100" t="s">
        <v>9</v>
      </c>
      <c r="D100">
        <f>VLOOKUP(C100,[1]机型!A:E,2,0)</f>
        <v>963.04000000000008</v>
      </c>
      <c r="E100">
        <f>VLOOKUP(C100,[1]机型!A:E,3,0)</f>
        <v>3900</v>
      </c>
      <c r="F100">
        <f>VLOOKUP(C100,[1]机型!A:E,4,0)</f>
        <v>16</v>
      </c>
      <c r="G100">
        <f>VLOOKUP(C100,[1]机型!A:E,5,0)</f>
        <v>555</v>
      </c>
    </row>
    <row r="101" spans="1:7" x14ac:dyDescent="0.25">
      <c r="A101" s="5" t="s">
        <v>29</v>
      </c>
      <c r="B101" t="s">
        <v>11</v>
      </c>
      <c r="C101" t="s">
        <v>10</v>
      </c>
      <c r="D101">
        <f>VLOOKUP(C101,[1]机型!A:E,2,0)</f>
        <v>893</v>
      </c>
      <c r="E101">
        <f>VLOOKUP(C101,[1]机型!A:E,3,0)</f>
        <v>2400</v>
      </c>
      <c r="F101">
        <f>VLOOKUP(C101,[1]机型!A:E,4,0)</f>
        <v>12</v>
      </c>
      <c r="G101">
        <f>VLOOKUP(C101,[1]机型!A:E,5,0)</f>
        <v>390</v>
      </c>
    </row>
    <row r="102" spans="1:7" x14ac:dyDescent="0.25">
      <c r="A102" s="5" t="s">
        <v>29</v>
      </c>
      <c r="B102" t="s">
        <v>30</v>
      </c>
      <c r="C102" t="s">
        <v>10</v>
      </c>
      <c r="D102">
        <f>VLOOKUP(C102,[1]机型!A:E,2,0)</f>
        <v>893</v>
      </c>
      <c r="E102">
        <f>VLOOKUP(C102,[1]机型!A:E,3,0)</f>
        <v>2400</v>
      </c>
      <c r="F102">
        <f>VLOOKUP(C102,[1]机型!A:E,4,0)</f>
        <v>12</v>
      </c>
      <c r="G102">
        <f>VLOOKUP(C102,[1]机型!A:E,5,0)</f>
        <v>390</v>
      </c>
    </row>
    <row r="103" spans="1:7" x14ac:dyDescent="0.25">
      <c r="A103" s="5" t="s">
        <v>29</v>
      </c>
      <c r="B103" t="s">
        <v>11</v>
      </c>
      <c r="C103" t="s">
        <v>9</v>
      </c>
      <c r="D103">
        <f>VLOOKUP(C103,[1]机型!A:E,2,0)</f>
        <v>963.04000000000008</v>
      </c>
      <c r="E103">
        <f>VLOOKUP(C103,[1]机型!A:E,3,0)</f>
        <v>3900</v>
      </c>
      <c r="F103">
        <f>VLOOKUP(C103,[1]机型!A:E,4,0)</f>
        <v>16</v>
      </c>
      <c r="G103">
        <f>VLOOKUP(C103,[1]机型!A:E,5,0)</f>
        <v>555</v>
      </c>
    </row>
    <row r="104" spans="1:7" x14ac:dyDescent="0.25">
      <c r="A104" s="5" t="s">
        <v>29</v>
      </c>
      <c r="B104" t="s">
        <v>30</v>
      </c>
      <c r="C104" t="s">
        <v>31</v>
      </c>
      <c r="D104">
        <f>VLOOKUP(C104,[1]机型!A:E,2,0)</f>
        <v>907.48</v>
      </c>
      <c r="E104">
        <f>VLOOKUP(C104,[1]机型!A:E,3,0)</f>
        <v>1750</v>
      </c>
      <c r="F104">
        <f>VLOOKUP(C104,[1]机型!A:E,4,0)</f>
        <v>9</v>
      </c>
      <c r="G104">
        <f>VLOOKUP(C104,[1]机型!A:E,5,0)</f>
        <v>230</v>
      </c>
    </row>
    <row r="105" spans="1:7" x14ac:dyDescent="0.25">
      <c r="A105" s="5" t="s">
        <v>29</v>
      </c>
      <c r="B105" t="s">
        <v>11</v>
      </c>
      <c r="C105" t="s">
        <v>10</v>
      </c>
      <c r="D105">
        <f>VLOOKUP(C105,[1]机型!A:E,2,0)</f>
        <v>893</v>
      </c>
      <c r="E105">
        <f>VLOOKUP(C105,[1]机型!A:E,3,0)</f>
        <v>2400</v>
      </c>
      <c r="F105">
        <f>VLOOKUP(C105,[1]机型!A:E,4,0)</f>
        <v>12</v>
      </c>
      <c r="G105">
        <f>VLOOKUP(C105,[1]机型!A:E,5,0)</f>
        <v>390</v>
      </c>
    </row>
    <row r="106" spans="1:7" x14ac:dyDescent="0.25">
      <c r="A106" s="5" t="s">
        <v>29</v>
      </c>
      <c r="B106" t="s">
        <v>11</v>
      </c>
      <c r="C106" t="s">
        <v>9</v>
      </c>
      <c r="D106">
        <f>VLOOKUP(C106,[1]机型!A:E,2,0)</f>
        <v>963.04000000000008</v>
      </c>
      <c r="E106">
        <f>VLOOKUP(C106,[1]机型!A:E,3,0)</f>
        <v>3900</v>
      </c>
      <c r="F106">
        <f>VLOOKUP(C106,[1]机型!A:E,4,0)</f>
        <v>16</v>
      </c>
      <c r="G106">
        <f>VLOOKUP(C106,[1]机型!A:E,5,0)</f>
        <v>555</v>
      </c>
    </row>
    <row r="107" spans="1:7" x14ac:dyDescent="0.25">
      <c r="A107" s="5" t="s">
        <v>29</v>
      </c>
      <c r="B107" t="s">
        <v>11</v>
      </c>
      <c r="C107" t="s">
        <v>10</v>
      </c>
      <c r="D107">
        <f>VLOOKUP(C107,[1]机型!A:E,2,0)</f>
        <v>893</v>
      </c>
      <c r="E107">
        <f>VLOOKUP(C107,[1]机型!A:E,3,0)</f>
        <v>2400</v>
      </c>
      <c r="F107">
        <f>VLOOKUP(C107,[1]机型!A:E,4,0)</f>
        <v>12</v>
      </c>
      <c r="G107">
        <f>VLOOKUP(C107,[1]机型!A:E,5,0)</f>
        <v>390</v>
      </c>
    </row>
    <row r="108" spans="1:7" x14ac:dyDescent="0.25">
      <c r="A108" s="5" t="s">
        <v>29</v>
      </c>
      <c r="B108" t="s">
        <v>30</v>
      </c>
      <c r="C108" t="s">
        <v>10</v>
      </c>
      <c r="D108">
        <f>VLOOKUP(C108,[1]机型!A:E,2,0)</f>
        <v>893</v>
      </c>
      <c r="E108">
        <f>VLOOKUP(C108,[1]机型!A:E,3,0)</f>
        <v>2400</v>
      </c>
      <c r="F108">
        <f>VLOOKUP(C108,[1]机型!A:E,4,0)</f>
        <v>12</v>
      </c>
      <c r="G108">
        <f>VLOOKUP(C108,[1]机型!A:E,5,0)</f>
        <v>390</v>
      </c>
    </row>
    <row r="109" spans="1:7" x14ac:dyDescent="0.25">
      <c r="A109" s="5" t="s">
        <v>29</v>
      </c>
      <c r="B109" t="s">
        <v>11</v>
      </c>
      <c r="C109" t="s">
        <v>9</v>
      </c>
      <c r="D109">
        <f>VLOOKUP(C109,[1]机型!A:E,2,0)</f>
        <v>963.04000000000008</v>
      </c>
      <c r="E109">
        <f>VLOOKUP(C109,[1]机型!A:E,3,0)</f>
        <v>3900</v>
      </c>
      <c r="F109">
        <f>VLOOKUP(C109,[1]机型!A:E,4,0)</f>
        <v>16</v>
      </c>
      <c r="G109">
        <f>VLOOKUP(C109,[1]机型!A:E,5,0)</f>
        <v>555</v>
      </c>
    </row>
    <row r="110" spans="1:7" s="7" customFormat="1" ht="14.4" thickBot="1" x14ac:dyDescent="0.3">
      <c r="A110" s="6" t="s">
        <v>29</v>
      </c>
      <c r="B110" s="7" t="s">
        <v>30</v>
      </c>
      <c r="C110" s="7" t="s">
        <v>31</v>
      </c>
      <c r="D110">
        <f>VLOOKUP(C110,[1]机型!A:E,2,0)</f>
        <v>907.48</v>
      </c>
      <c r="E110">
        <f>VLOOKUP(C110,[1]机型!A:E,3,0)</f>
        <v>1750</v>
      </c>
      <c r="F110">
        <f>VLOOKUP(C110,[1]机型!A:E,4,0)</f>
        <v>9</v>
      </c>
      <c r="G110">
        <f>VLOOKUP(C110,[1]机型!A:E,5,0)</f>
        <v>230</v>
      </c>
    </row>
    <row r="111" spans="1:7" s="4" customFormat="1" x14ac:dyDescent="0.25">
      <c r="A111" s="3" t="s">
        <v>32</v>
      </c>
      <c r="B111" s="4" t="s">
        <v>8</v>
      </c>
      <c r="C111" s="4" t="s">
        <v>10</v>
      </c>
      <c r="D111">
        <f>VLOOKUP(C111,[1]机型!A:E,2,0)</f>
        <v>893</v>
      </c>
      <c r="E111">
        <f>VLOOKUP(C111,[1]机型!A:E,3,0)</f>
        <v>2400</v>
      </c>
      <c r="F111">
        <f>VLOOKUP(C111,[1]机型!A:E,4,0)</f>
        <v>12</v>
      </c>
      <c r="G111">
        <f>VLOOKUP(C111,[1]机型!A:E,5,0)</f>
        <v>390</v>
      </c>
    </row>
    <row r="112" spans="1:7" x14ac:dyDescent="0.25">
      <c r="A112" s="5" t="s">
        <v>32</v>
      </c>
      <c r="B112" t="s">
        <v>8</v>
      </c>
      <c r="C112" t="s">
        <v>9</v>
      </c>
      <c r="D112">
        <f>VLOOKUP(C112,[1]机型!A:E,2,0)</f>
        <v>963.04000000000008</v>
      </c>
      <c r="E112">
        <f>VLOOKUP(C112,[1]机型!A:E,3,0)</f>
        <v>3900</v>
      </c>
      <c r="F112">
        <f>VLOOKUP(C112,[1]机型!A:E,4,0)</f>
        <v>16</v>
      </c>
      <c r="G112">
        <f>VLOOKUP(C112,[1]机型!A:E,5,0)</f>
        <v>555</v>
      </c>
    </row>
    <row r="113" spans="1:7" x14ac:dyDescent="0.25">
      <c r="A113" s="5" t="s">
        <v>32</v>
      </c>
      <c r="B113" t="s">
        <v>8</v>
      </c>
      <c r="C113" t="s">
        <v>10</v>
      </c>
      <c r="D113">
        <f>VLOOKUP(C113,[1]机型!A:E,2,0)</f>
        <v>893</v>
      </c>
      <c r="E113">
        <f>VLOOKUP(C113,[1]机型!A:E,3,0)</f>
        <v>2400</v>
      </c>
      <c r="F113">
        <f>VLOOKUP(C113,[1]机型!A:E,4,0)</f>
        <v>12</v>
      </c>
      <c r="G113">
        <f>VLOOKUP(C113,[1]机型!A:E,5,0)</f>
        <v>390</v>
      </c>
    </row>
    <row r="114" spans="1:7" x14ac:dyDescent="0.25">
      <c r="A114" s="5" t="s">
        <v>32</v>
      </c>
      <c r="B114" t="s">
        <v>8</v>
      </c>
      <c r="C114" t="s">
        <v>13</v>
      </c>
      <c r="D114">
        <f>VLOOKUP(C114,[1]机型!A:E,2,0)</f>
        <v>901.92400000000009</v>
      </c>
      <c r="E114">
        <f>VLOOKUP(C114,[1]机型!A:E,3,0)</f>
        <v>1900</v>
      </c>
      <c r="F114">
        <f>VLOOKUP(C114,[1]机型!A:E,4,0)</f>
        <v>11</v>
      </c>
      <c r="G114">
        <f>VLOOKUP(C114,[1]机型!A:E,5,0)</f>
        <v>314</v>
      </c>
    </row>
    <row r="115" spans="1:7" x14ac:dyDescent="0.25">
      <c r="A115" s="5" t="s">
        <v>32</v>
      </c>
      <c r="B115" t="s">
        <v>8</v>
      </c>
      <c r="C115" t="s">
        <v>10</v>
      </c>
      <c r="D115">
        <f>VLOOKUP(C115,[1]机型!A:E,2,0)</f>
        <v>893</v>
      </c>
      <c r="E115">
        <f>VLOOKUP(C115,[1]机型!A:E,3,0)</f>
        <v>2400</v>
      </c>
      <c r="F115">
        <f>VLOOKUP(C115,[1]机型!A:E,4,0)</f>
        <v>12</v>
      </c>
      <c r="G115">
        <f>VLOOKUP(C115,[1]机型!A:E,5,0)</f>
        <v>390</v>
      </c>
    </row>
    <row r="116" spans="1:7" x14ac:dyDescent="0.25">
      <c r="A116" s="5" t="s">
        <v>32</v>
      </c>
      <c r="B116" t="s">
        <v>14</v>
      </c>
      <c r="C116" t="s">
        <v>33</v>
      </c>
      <c r="D116">
        <f>VLOOKUP(C116,[1]机型!A:E,2,0)</f>
        <v>913</v>
      </c>
      <c r="E116">
        <f>VLOOKUP(C116,[1]机型!A:E,3,0)</f>
        <v>1750</v>
      </c>
      <c r="F116">
        <f>VLOOKUP(C116,[1]机型!A:E,4,0)</f>
        <v>9</v>
      </c>
      <c r="G116">
        <f>VLOOKUP(C116,[1]机型!A:E,5,0)</f>
        <v>230</v>
      </c>
    </row>
    <row r="117" spans="1:7" x14ac:dyDescent="0.25">
      <c r="A117" s="5" t="s">
        <v>32</v>
      </c>
      <c r="B117" t="s">
        <v>8</v>
      </c>
      <c r="C117" t="s">
        <v>10</v>
      </c>
      <c r="D117">
        <f>VLOOKUP(C117,[1]机型!A:E,2,0)</f>
        <v>893</v>
      </c>
      <c r="E117">
        <f>VLOOKUP(C117,[1]机型!A:E,3,0)</f>
        <v>2400</v>
      </c>
      <c r="F117">
        <f>VLOOKUP(C117,[1]机型!A:E,4,0)</f>
        <v>12</v>
      </c>
      <c r="G117">
        <f>VLOOKUP(C117,[1]机型!A:E,5,0)</f>
        <v>390</v>
      </c>
    </row>
    <row r="118" spans="1:7" x14ac:dyDescent="0.25">
      <c r="A118" s="5" t="s">
        <v>32</v>
      </c>
      <c r="B118" t="s">
        <v>8</v>
      </c>
      <c r="C118" t="s">
        <v>9</v>
      </c>
      <c r="D118">
        <f>VLOOKUP(C118,[1]机型!A:E,2,0)</f>
        <v>963.04000000000008</v>
      </c>
      <c r="E118">
        <f>VLOOKUP(C118,[1]机型!A:E,3,0)</f>
        <v>3900</v>
      </c>
      <c r="F118">
        <f>VLOOKUP(C118,[1]机型!A:E,4,0)</f>
        <v>16</v>
      </c>
      <c r="G118">
        <f>VLOOKUP(C118,[1]机型!A:E,5,0)</f>
        <v>555</v>
      </c>
    </row>
    <row r="119" spans="1:7" x14ac:dyDescent="0.25">
      <c r="A119" s="5" t="s">
        <v>32</v>
      </c>
      <c r="B119" t="s">
        <v>8</v>
      </c>
      <c r="C119" t="s">
        <v>10</v>
      </c>
      <c r="D119">
        <f>VLOOKUP(C119,[1]机型!A:E,2,0)</f>
        <v>893</v>
      </c>
      <c r="E119">
        <f>VLOOKUP(C119,[1]机型!A:E,3,0)</f>
        <v>2400</v>
      </c>
      <c r="F119">
        <f>VLOOKUP(C119,[1]机型!A:E,4,0)</f>
        <v>12</v>
      </c>
      <c r="G119">
        <f>VLOOKUP(C119,[1]机型!A:E,5,0)</f>
        <v>390</v>
      </c>
    </row>
    <row r="120" spans="1:7" x14ac:dyDescent="0.25">
      <c r="A120" s="5" t="s">
        <v>32</v>
      </c>
      <c r="B120" t="s">
        <v>8</v>
      </c>
      <c r="C120" t="s">
        <v>13</v>
      </c>
      <c r="D120">
        <f>VLOOKUP(C120,[1]机型!A:E,2,0)</f>
        <v>901.92400000000009</v>
      </c>
      <c r="E120">
        <f>VLOOKUP(C120,[1]机型!A:E,3,0)</f>
        <v>1900</v>
      </c>
      <c r="F120">
        <f>VLOOKUP(C120,[1]机型!A:E,4,0)</f>
        <v>11</v>
      </c>
      <c r="G120">
        <f>VLOOKUP(C120,[1]机型!A:E,5,0)</f>
        <v>314</v>
      </c>
    </row>
    <row r="121" spans="1:7" x14ac:dyDescent="0.25">
      <c r="A121" s="5" t="s">
        <v>32</v>
      </c>
      <c r="B121" t="s">
        <v>8</v>
      </c>
      <c r="C121" t="s">
        <v>10</v>
      </c>
      <c r="D121">
        <f>VLOOKUP(C121,[1]机型!A:E,2,0)</f>
        <v>893</v>
      </c>
      <c r="E121">
        <f>VLOOKUP(C121,[1]机型!A:E,3,0)</f>
        <v>2400</v>
      </c>
      <c r="F121">
        <f>VLOOKUP(C121,[1]机型!A:E,4,0)</f>
        <v>12</v>
      </c>
      <c r="G121">
        <f>VLOOKUP(C121,[1]机型!A:E,5,0)</f>
        <v>390</v>
      </c>
    </row>
    <row r="122" spans="1:7" x14ac:dyDescent="0.25">
      <c r="A122" s="5" t="s">
        <v>32</v>
      </c>
      <c r="B122" t="s">
        <v>14</v>
      </c>
      <c r="C122" t="s">
        <v>33</v>
      </c>
      <c r="D122">
        <f>VLOOKUP(C122,[1]机型!A:E,2,0)</f>
        <v>913</v>
      </c>
      <c r="E122">
        <f>VLOOKUP(C122,[1]机型!A:E,3,0)</f>
        <v>1750</v>
      </c>
      <c r="F122">
        <f>VLOOKUP(C122,[1]机型!A:E,4,0)</f>
        <v>9</v>
      </c>
      <c r="G122">
        <f>VLOOKUP(C122,[1]机型!A:E,5,0)</f>
        <v>230</v>
      </c>
    </row>
    <row r="123" spans="1:7" x14ac:dyDescent="0.25">
      <c r="A123" s="5" t="s">
        <v>32</v>
      </c>
      <c r="B123" t="s">
        <v>8</v>
      </c>
      <c r="C123" t="s">
        <v>10</v>
      </c>
      <c r="D123">
        <f>VLOOKUP(C123,[1]机型!A:E,2,0)</f>
        <v>893</v>
      </c>
      <c r="E123">
        <f>VLOOKUP(C123,[1]机型!A:E,3,0)</f>
        <v>2400</v>
      </c>
      <c r="F123">
        <f>VLOOKUP(C123,[1]机型!A:E,4,0)</f>
        <v>12</v>
      </c>
      <c r="G123">
        <f>VLOOKUP(C123,[1]机型!A:E,5,0)</f>
        <v>390</v>
      </c>
    </row>
    <row r="124" spans="1:7" x14ac:dyDescent="0.25">
      <c r="A124" s="5" t="s">
        <v>32</v>
      </c>
      <c r="B124" t="s">
        <v>8</v>
      </c>
      <c r="C124" t="s">
        <v>9</v>
      </c>
      <c r="D124">
        <f>VLOOKUP(C124,[1]机型!A:E,2,0)</f>
        <v>963.04000000000008</v>
      </c>
      <c r="E124">
        <f>VLOOKUP(C124,[1]机型!A:E,3,0)</f>
        <v>3900</v>
      </c>
      <c r="F124">
        <f>VLOOKUP(C124,[1]机型!A:E,4,0)</f>
        <v>16</v>
      </c>
      <c r="G124">
        <f>VLOOKUP(C124,[1]机型!A:E,5,0)</f>
        <v>555</v>
      </c>
    </row>
    <row r="125" spans="1:7" x14ac:dyDescent="0.25">
      <c r="A125" s="5" t="s">
        <v>32</v>
      </c>
      <c r="B125" t="s">
        <v>8</v>
      </c>
      <c r="C125" t="s">
        <v>10</v>
      </c>
      <c r="D125">
        <f>VLOOKUP(C125,[1]机型!A:E,2,0)</f>
        <v>893</v>
      </c>
      <c r="E125">
        <f>VLOOKUP(C125,[1]机型!A:E,3,0)</f>
        <v>2400</v>
      </c>
      <c r="F125">
        <f>VLOOKUP(C125,[1]机型!A:E,4,0)</f>
        <v>12</v>
      </c>
      <c r="G125">
        <f>VLOOKUP(C125,[1]机型!A:E,5,0)</f>
        <v>390</v>
      </c>
    </row>
    <row r="126" spans="1:7" x14ac:dyDescent="0.25">
      <c r="A126" s="5" t="s">
        <v>32</v>
      </c>
      <c r="B126" t="s">
        <v>8</v>
      </c>
      <c r="C126" t="s">
        <v>13</v>
      </c>
      <c r="D126">
        <f>VLOOKUP(C126,[1]机型!A:E,2,0)</f>
        <v>901.92400000000009</v>
      </c>
      <c r="E126">
        <f>VLOOKUP(C126,[1]机型!A:E,3,0)</f>
        <v>1900</v>
      </c>
      <c r="F126">
        <f>VLOOKUP(C126,[1]机型!A:E,4,0)</f>
        <v>11</v>
      </c>
      <c r="G126">
        <f>VLOOKUP(C126,[1]机型!A:E,5,0)</f>
        <v>314</v>
      </c>
    </row>
    <row r="127" spans="1:7" x14ac:dyDescent="0.25">
      <c r="A127" s="5" t="s">
        <v>32</v>
      </c>
      <c r="B127" t="s">
        <v>8</v>
      </c>
      <c r="C127" t="s">
        <v>10</v>
      </c>
      <c r="D127">
        <f>VLOOKUP(C127,[1]机型!A:E,2,0)</f>
        <v>893</v>
      </c>
      <c r="E127">
        <f>VLOOKUP(C127,[1]机型!A:E,3,0)</f>
        <v>2400</v>
      </c>
      <c r="F127">
        <f>VLOOKUP(C127,[1]机型!A:E,4,0)</f>
        <v>12</v>
      </c>
      <c r="G127">
        <f>VLOOKUP(C127,[1]机型!A:E,5,0)</f>
        <v>390</v>
      </c>
    </row>
    <row r="128" spans="1:7" s="7" customFormat="1" ht="14.4" thickBot="1" x14ac:dyDescent="0.3">
      <c r="A128" s="6" t="s">
        <v>32</v>
      </c>
      <c r="B128" s="7" t="s">
        <v>14</v>
      </c>
      <c r="C128" s="7" t="s">
        <v>33</v>
      </c>
      <c r="D128">
        <f>VLOOKUP(C128,[1]机型!A:E,2,0)</f>
        <v>913</v>
      </c>
      <c r="E128">
        <f>VLOOKUP(C128,[1]机型!A:E,3,0)</f>
        <v>1750</v>
      </c>
      <c r="F128">
        <f>VLOOKUP(C128,[1]机型!A:E,4,0)</f>
        <v>9</v>
      </c>
      <c r="G128">
        <f>VLOOKUP(C128,[1]机型!A:E,5,0)</f>
        <v>230</v>
      </c>
    </row>
    <row r="129" spans="1:7" x14ac:dyDescent="0.25">
      <c r="A129" t="s">
        <v>34</v>
      </c>
      <c r="B129" t="s">
        <v>8</v>
      </c>
      <c r="C129" t="s">
        <v>9</v>
      </c>
      <c r="D129">
        <f>VLOOKUP(C129,[1]机型!A:E,2,0)</f>
        <v>963.04000000000008</v>
      </c>
      <c r="E129">
        <f>VLOOKUP(C129,[1]机型!A:E,3,0)</f>
        <v>3900</v>
      </c>
      <c r="F129">
        <f>VLOOKUP(C129,[1]机型!A:E,4,0)</f>
        <v>16</v>
      </c>
      <c r="G129">
        <f>VLOOKUP(C129,[1]机型!A:E,5,0)</f>
        <v>555</v>
      </c>
    </row>
    <row r="130" spans="1:7" x14ac:dyDescent="0.25">
      <c r="A130" t="s">
        <v>34</v>
      </c>
      <c r="B130" t="s">
        <v>8</v>
      </c>
      <c r="C130" t="s">
        <v>9</v>
      </c>
      <c r="D130">
        <f>VLOOKUP(C130,[1]机型!A:E,2,0)</f>
        <v>963.04000000000008</v>
      </c>
      <c r="E130">
        <f>VLOOKUP(C130,[1]机型!A:E,3,0)</f>
        <v>3900</v>
      </c>
      <c r="F130">
        <f>VLOOKUP(C130,[1]机型!A:E,4,0)</f>
        <v>16</v>
      </c>
      <c r="G130">
        <f>VLOOKUP(C130,[1]机型!A:E,5,0)</f>
        <v>555</v>
      </c>
    </row>
    <row r="131" spans="1:7" x14ac:dyDescent="0.25">
      <c r="A131" t="s">
        <v>34</v>
      </c>
      <c r="B131" t="s">
        <v>8</v>
      </c>
      <c r="C131" t="s">
        <v>9</v>
      </c>
      <c r="D131">
        <f>VLOOKUP(C131,[1]机型!A:E,2,0)</f>
        <v>963.04000000000008</v>
      </c>
      <c r="E131">
        <f>VLOOKUP(C131,[1]机型!A:E,3,0)</f>
        <v>3900</v>
      </c>
      <c r="F131">
        <f>VLOOKUP(C131,[1]机型!A:E,4,0)</f>
        <v>16</v>
      </c>
      <c r="G131">
        <f>VLOOKUP(C131,[1]机型!A:E,5,0)</f>
        <v>555</v>
      </c>
    </row>
    <row r="132" spans="1:7" x14ac:dyDescent="0.25">
      <c r="A132" t="s">
        <v>34</v>
      </c>
      <c r="B132" t="s">
        <v>8</v>
      </c>
      <c r="C132" t="s">
        <v>9</v>
      </c>
      <c r="D132">
        <f>VLOOKUP(C132,[1]机型!A:E,2,0)</f>
        <v>963.04000000000008</v>
      </c>
      <c r="E132">
        <f>VLOOKUP(C132,[1]机型!A:E,3,0)</f>
        <v>3900</v>
      </c>
      <c r="F132">
        <f>VLOOKUP(C132,[1]机型!A:E,4,0)</f>
        <v>16</v>
      </c>
      <c r="G132">
        <f>VLOOKUP(C132,[1]机型!A:E,5,0)</f>
        <v>555</v>
      </c>
    </row>
    <row r="133" spans="1:7" x14ac:dyDescent="0.25">
      <c r="A133" t="s">
        <v>34</v>
      </c>
      <c r="B133" t="s">
        <v>8</v>
      </c>
      <c r="C133" t="s">
        <v>13</v>
      </c>
      <c r="D133">
        <f>VLOOKUP(C133,[1]机型!A:E,2,0)</f>
        <v>901.92400000000009</v>
      </c>
      <c r="E133">
        <f>VLOOKUP(C133,[1]机型!A:E,3,0)</f>
        <v>1900</v>
      </c>
      <c r="F133">
        <f>VLOOKUP(C133,[1]机型!A:E,4,0)</f>
        <v>11</v>
      </c>
      <c r="G133">
        <f>VLOOKUP(C133,[1]机型!A:E,5,0)</f>
        <v>314</v>
      </c>
    </row>
    <row r="134" spans="1:7" x14ac:dyDescent="0.25">
      <c r="A134" t="s">
        <v>34</v>
      </c>
      <c r="B134" t="s">
        <v>8</v>
      </c>
      <c r="C134" t="s">
        <v>9</v>
      </c>
      <c r="D134">
        <f>VLOOKUP(C134,[1]机型!A:E,2,0)</f>
        <v>963.04000000000008</v>
      </c>
      <c r="E134">
        <f>VLOOKUP(C134,[1]机型!A:E,3,0)</f>
        <v>3900</v>
      </c>
      <c r="F134">
        <f>VLOOKUP(C134,[1]机型!A:E,4,0)</f>
        <v>16</v>
      </c>
      <c r="G134">
        <f>VLOOKUP(C134,[1]机型!A:E,5,0)</f>
        <v>555</v>
      </c>
    </row>
    <row r="135" spans="1:7" x14ac:dyDescent="0.25">
      <c r="A135" t="s">
        <v>34</v>
      </c>
      <c r="B135" t="s">
        <v>11</v>
      </c>
      <c r="C135" t="s">
        <v>9</v>
      </c>
      <c r="D135">
        <f>VLOOKUP(C135,[1]机型!A:E,2,0)</f>
        <v>963.04000000000008</v>
      </c>
      <c r="E135">
        <f>VLOOKUP(C135,[1]机型!A:E,3,0)</f>
        <v>3900</v>
      </c>
      <c r="F135">
        <f>VLOOKUP(C135,[1]机型!A:E,4,0)</f>
        <v>16</v>
      </c>
      <c r="G135">
        <f>VLOOKUP(C135,[1]机型!A:E,5,0)</f>
        <v>555</v>
      </c>
    </row>
    <row r="136" spans="1:7" x14ac:dyDescent="0.25">
      <c r="A136" t="s">
        <v>34</v>
      </c>
      <c r="B136" t="s">
        <v>24</v>
      </c>
      <c r="C136" t="s">
        <v>13</v>
      </c>
      <c r="D136">
        <f>VLOOKUP(C136,[1]机型!A:E,2,0)</f>
        <v>901.92400000000009</v>
      </c>
      <c r="E136">
        <f>VLOOKUP(C136,[1]机型!A:E,3,0)</f>
        <v>1900</v>
      </c>
      <c r="F136">
        <f>VLOOKUP(C136,[1]机型!A:E,4,0)</f>
        <v>11</v>
      </c>
      <c r="G136">
        <f>VLOOKUP(C136,[1]机型!A:E,5,0)</f>
        <v>314</v>
      </c>
    </row>
    <row r="137" spans="1:7" x14ac:dyDescent="0.25">
      <c r="A137" t="s">
        <v>34</v>
      </c>
      <c r="B137" t="s">
        <v>8</v>
      </c>
      <c r="C137" t="s">
        <v>9</v>
      </c>
      <c r="D137">
        <f>VLOOKUP(C137,[1]机型!A:E,2,0)</f>
        <v>963.04000000000008</v>
      </c>
      <c r="E137">
        <f>VLOOKUP(C137,[1]机型!A:E,3,0)</f>
        <v>3900</v>
      </c>
      <c r="F137">
        <f>VLOOKUP(C137,[1]机型!A:E,4,0)</f>
        <v>16</v>
      </c>
      <c r="G137">
        <f>VLOOKUP(C137,[1]机型!A:E,5,0)</f>
        <v>555</v>
      </c>
    </row>
    <row r="138" spans="1:7" x14ac:dyDescent="0.25">
      <c r="A138" t="s">
        <v>34</v>
      </c>
      <c r="B138" t="s">
        <v>8</v>
      </c>
      <c r="C138" t="s">
        <v>9</v>
      </c>
      <c r="D138">
        <f>VLOOKUP(C138,[1]机型!A:E,2,0)</f>
        <v>963.04000000000008</v>
      </c>
      <c r="E138">
        <f>VLOOKUP(C138,[1]机型!A:E,3,0)</f>
        <v>3900</v>
      </c>
      <c r="F138">
        <f>VLOOKUP(C138,[1]机型!A:E,4,0)</f>
        <v>16</v>
      </c>
      <c r="G138">
        <f>VLOOKUP(C138,[1]机型!A:E,5,0)</f>
        <v>555</v>
      </c>
    </row>
    <row r="139" spans="1:7" x14ac:dyDescent="0.25">
      <c r="A139" t="s">
        <v>34</v>
      </c>
      <c r="B139" t="s">
        <v>17</v>
      </c>
      <c r="C139" t="s">
        <v>13</v>
      </c>
      <c r="D139">
        <f>VLOOKUP(C139,[1]机型!A:E,2,0)</f>
        <v>901.92400000000009</v>
      </c>
      <c r="E139">
        <f>VLOOKUP(C139,[1]机型!A:E,3,0)</f>
        <v>1900</v>
      </c>
      <c r="F139">
        <f>VLOOKUP(C139,[1]机型!A:E,4,0)</f>
        <v>11</v>
      </c>
      <c r="G139">
        <f>VLOOKUP(C139,[1]机型!A:E,5,0)</f>
        <v>314</v>
      </c>
    </row>
    <row r="140" spans="1:7" x14ac:dyDescent="0.25">
      <c r="A140" t="s">
        <v>34</v>
      </c>
      <c r="B140" t="s">
        <v>8</v>
      </c>
      <c r="C140" t="s">
        <v>9</v>
      </c>
      <c r="D140">
        <f>VLOOKUP(C140,[1]机型!A:E,2,0)</f>
        <v>963.04000000000008</v>
      </c>
      <c r="E140">
        <f>VLOOKUP(C140,[1]机型!A:E,3,0)</f>
        <v>3900</v>
      </c>
      <c r="F140">
        <f>VLOOKUP(C140,[1]机型!A:E,4,0)</f>
        <v>16</v>
      </c>
      <c r="G140">
        <f>VLOOKUP(C140,[1]机型!A:E,5,0)</f>
        <v>555</v>
      </c>
    </row>
    <row r="141" spans="1:7" x14ac:dyDescent="0.25">
      <c r="A141" t="s">
        <v>34</v>
      </c>
      <c r="B141" t="s">
        <v>8</v>
      </c>
      <c r="C141" t="s">
        <v>10</v>
      </c>
      <c r="D141">
        <f>VLOOKUP(C141,[1]机型!A:E,2,0)</f>
        <v>893</v>
      </c>
      <c r="E141">
        <f>VLOOKUP(C141,[1]机型!A:E,3,0)</f>
        <v>2400</v>
      </c>
      <c r="F141">
        <f>VLOOKUP(C141,[1]机型!A:E,4,0)</f>
        <v>12</v>
      </c>
      <c r="G141">
        <f>VLOOKUP(C141,[1]机型!A:E,5,0)</f>
        <v>390</v>
      </c>
    </row>
    <row r="142" spans="1:7" x14ac:dyDescent="0.25">
      <c r="A142" t="s">
        <v>34</v>
      </c>
      <c r="B142" t="s">
        <v>8</v>
      </c>
      <c r="C142" t="s">
        <v>9</v>
      </c>
      <c r="D142">
        <f>VLOOKUP(C142,[1]机型!A:E,2,0)</f>
        <v>963.04000000000008</v>
      </c>
      <c r="E142">
        <f>VLOOKUP(C142,[1]机型!A:E,3,0)</f>
        <v>3900</v>
      </c>
      <c r="F142">
        <f>VLOOKUP(C142,[1]机型!A:E,4,0)</f>
        <v>16</v>
      </c>
      <c r="G142">
        <f>VLOOKUP(C142,[1]机型!A:E,5,0)</f>
        <v>555</v>
      </c>
    </row>
    <row r="143" spans="1:7" x14ac:dyDescent="0.25">
      <c r="A143" t="s">
        <v>34</v>
      </c>
      <c r="B143" t="s">
        <v>17</v>
      </c>
      <c r="C143" t="s">
        <v>13</v>
      </c>
      <c r="D143">
        <f>VLOOKUP(C143,[1]机型!A:E,2,0)</f>
        <v>901.92400000000009</v>
      </c>
      <c r="E143">
        <f>VLOOKUP(C143,[1]机型!A:E,3,0)</f>
        <v>1900</v>
      </c>
      <c r="F143">
        <f>VLOOKUP(C143,[1]机型!A:E,4,0)</f>
        <v>11</v>
      </c>
      <c r="G143">
        <f>VLOOKUP(C143,[1]机型!A:E,5,0)</f>
        <v>314</v>
      </c>
    </row>
    <row r="144" spans="1:7" x14ac:dyDescent="0.25">
      <c r="A144" t="s">
        <v>34</v>
      </c>
      <c r="B144" t="s">
        <v>8</v>
      </c>
      <c r="C144" t="s">
        <v>9</v>
      </c>
      <c r="D144">
        <f>VLOOKUP(C144,[1]机型!A:E,2,0)</f>
        <v>963.04000000000008</v>
      </c>
      <c r="E144">
        <f>VLOOKUP(C144,[1]机型!A:E,3,0)</f>
        <v>3900</v>
      </c>
      <c r="F144">
        <f>VLOOKUP(C144,[1]机型!A:E,4,0)</f>
        <v>16</v>
      </c>
      <c r="G144">
        <f>VLOOKUP(C144,[1]机型!A:E,5,0)</f>
        <v>555</v>
      </c>
    </row>
    <row r="145" spans="1:7" x14ac:dyDescent="0.25">
      <c r="A145" t="s">
        <v>34</v>
      </c>
      <c r="B145" t="s">
        <v>16</v>
      </c>
      <c r="C145" t="s">
        <v>35</v>
      </c>
      <c r="D145">
        <f>VLOOKUP(C145,[1]机型!A:E,2,0)</f>
        <v>901.92400000000009</v>
      </c>
      <c r="E145">
        <f>VLOOKUP(C145,[1]机型!A:E,3,0)</f>
        <v>1850</v>
      </c>
      <c r="F145">
        <f>VLOOKUP(C145,[1]机型!A:E,4,0)</f>
        <v>11</v>
      </c>
      <c r="G145">
        <f>VLOOKUP(C145,[1]机型!A:E,5,0)</f>
        <v>350</v>
      </c>
    </row>
    <row r="146" spans="1:7" x14ac:dyDescent="0.25">
      <c r="A146" t="s">
        <v>34</v>
      </c>
      <c r="B146" t="s">
        <v>8</v>
      </c>
      <c r="C146" t="s">
        <v>13</v>
      </c>
      <c r="D146">
        <f>VLOOKUP(C146,[1]机型!A:E,2,0)</f>
        <v>901.92400000000009</v>
      </c>
      <c r="E146">
        <f>VLOOKUP(C146,[1]机型!A:E,3,0)</f>
        <v>1900</v>
      </c>
      <c r="F146">
        <f>VLOOKUP(C146,[1]机型!A:E,4,0)</f>
        <v>11</v>
      </c>
      <c r="G146">
        <f>VLOOKUP(C146,[1]机型!A:E,5,0)</f>
        <v>314</v>
      </c>
    </row>
    <row r="147" spans="1:7" x14ac:dyDescent="0.25">
      <c r="A147" t="s">
        <v>34</v>
      </c>
      <c r="B147" t="s">
        <v>8</v>
      </c>
      <c r="C147" t="s">
        <v>9</v>
      </c>
      <c r="D147">
        <f>VLOOKUP(C147,[1]机型!A:E,2,0)</f>
        <v>963.04000000000008</v>
      </c>
      <c r="E147">
        <f>VLOOKUP(C147,[1]机型!A:E,3,0)</f>
        <v>3900</v>
      </c>
      <c r="F147">
        <f>VLOOKUP(C147,[1]机型!A:E,4,0)</f>
        <v>16</v>
      </c>
      <c r="G147">
        <f>VLOOKUP(C147,[1]机型!A:E,5,0)</f>
        <v>555</v>
      </c>
    </row>
    <row r="148" spans="1:7" x14ac:dyDescent="0.25">
      <c r="A148" t="s">
        <v>34</v>
      </c>
      <c r="B148" t="s">
        <v>11</v>
      </c>
      <c r="C148" t="s">
        <v>13</v>
      </c>
      <c r="D148">
        <f>VLOOKUP(C148,[1]机型!A:E,2,0)</f>
        <v>901.92400000000009</v>
      </c>
      <c r="E148">
        <f>VLOOKUP(C148,[1]机型!A:E,3,0)</f>
        <v>1900</v>
      </c>
      <c r="F148">
        <f>VLOOKUP(C148,[1]机型!A:E,4,0)</f>
        <v>11</v>
      </c>
      <c r="G148">
        <f>VLOOKUP(C148,[1]机型!A:E,5,0)</f>
        <v>314</v>
      </c>
    </row>
    <row r="149" spans="1:7" x14ac:dyDescent="0.25">
      <c r="A149" t="s">
        <v>34</v>
      </c>
      <c r="B149" t="s">
        <v>8</v>
      </c>
      <c r="C149" t="s">
        <v>9</v>
      </c>
      <c r="D149">
        <f>VLOOKUP(C149,[1]机型!A:E,2,0)</f>
        <v>963.04000000000008</v>
      </c>
      <c r="E149">
        <f>VLOOKUP(C149,[1]机型!A:E,3,0)</f>
        <v>3900</v>
      </c>
      <c r="F149">
        <f>VLOOKUP(C149,[1]机型!A:E,4,0)</f>
        <v>16</v>
      </c>
      <c r="G149">
        <f>VLOOKUP(C149,[1]机型!A:E,5,0)</f>
        <v>555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#LIU, JIANI#</dc:creator>
  <cp:lastModifiedBy>#LIU, JIANI#</cp:lastModifiedBy>
  <dcterms:created xsi:type="dcterms:W3CDTF">2026-04-25T14:35:32Z</dcterms:created>
  <dcterms:modified xsi:type="dcterms:W3CDTF">2026-04-26T10:18:24Z</dcterms:modified>
</cp:coreProperties>
</file>